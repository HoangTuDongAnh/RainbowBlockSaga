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6bc1501d3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e6d247c1ce1a47ee"/>
    <x:sheet xmlns:r="http://schemas.openxmlformats.org/officeDocument/2006/relationships" name="Execution_Log" sheetId="2" r:id="Rbef7eab458a149bd"/>
    <x:sheet xmlns:r="http://schemas.openxmlformats.org/officeDocument/2006/relationships" name="Thong_ke" sheetId="3" r:id="Rd739ba878bce417d"/>
    <x:sheet xmlns:r="http://schemas.openxmlformats.org/officeDocument/2006/relationships" name="Unity_Test_Map" sheetId="4" r:id="R48c87f0ea07a4f88"/>
  </x:sheets>
</x:workbook>
</file>

<file path=xl/sharedStrings.xml><?xml version="1.0" encoding="utf-8"?>
<x:sst xmlns:x="http://schemas.openxmlformats.org/spreadsheetml/2006/main">
  <x:si>
    <x:t xml:space="preserve">Test Case ID</x:t>
  </x:si>
  <x:si>
    <x:t xml:space="preserve">Requirement ID</x:t>
  </x:si>
  <x:si>
    <x:t xml:space="preserve">Test Case Title</x:t>
  </x:si>
  <x:si>
    <x:t xml:space="preserve">Test Objective</x:t>
  </x:si>
  <x:si>
    <x:t xml:space="preserve">Preconditions</x:t>
  </x:si>
  <x:si>
    <x:t xml:space="preserve">Test Data</x:t>
  </x:si>
  <x:si>
    <x:t xml:space="preserve">Test Steps</x:t>
  </x:si>
  <x:si>
    <x:t xml:space="preserve">Expected Result</x:t>
  </x:si>
  <x:si>
    <x:t xml:space="preserve">Priority</x:t>
  </x:si>
  <x:si>
    <x:t xml:space="preserve">Test Type</x:t>
  </x:si>
  <x:si>
    <x:t xml:space="preserve">Test Method</x:t>
  </x:si>
  <x:si>
    <x:t xml:space="preserve">Test Environment</x:t>
  </x:si>
  <x:si>
    <x:t xml:space="preserve">Automation Suitability</x:t>
  </x:si>
  <x:si>
    <x:t xml:space="preserve">Initial Execution Status</x:t>
  </x:si>
  <x:si>
    <x:t xml:space="preserve">Evidence/Notes</x:t>
  </x:si>
  <x:si>
    <x:t xml:space="preserve">TC-001</x:t>
  </x:si>
  <x:si>
    <x:t xml:space="preserve">REQ-011</x:t>
  </x:si>
  <x:si>
    <x:t xml:space="preserve">CanPlace: đặt khối trong biên trên bàn trống</x:t>
  </x:si>
  <x:si>
    <x:t xml:space="preserve">Xác minh: canPlace: đặt khối trong biên trên bàn trống</x:t>
  </x:si>
  <x:si>
    <x:t xml:space="preserve">Bàn 8x8 trống</x:t>
  </x:si>
  <x:si>
    <x:t xml:space="preserve">Khối 2x2, vị trí (3,3)</x:t>
  </x:si>
  <x:si>
    <x:t xml:space="preserve">1. Arrange: tạo BoardModel 8x8 và khối 2x2
2. Act: gọi CanPlace tại (3,3)
3. Assert: kết quả true</x:t>
  </x:si>
  <x:si>
    <x:t xml:space="preserve">CanPlace trả về true</x:t>
  </x:si>
  <x:si>
    <x:t xml:space="preserve">High</x:t>
  </x:si>
  <x:si>
    <x:t xml:space="preserve">Functional</x:t>
  </x:si>
  <x:si>
    <x:t xml:space="preserve">Unity Test Framework</x:t>
  </x:si>
  <x:si>
    <x:t xml:space="preserve">Unity Editor 6000.4.5f1 - EditMode (Unity Test Framework)</x:t>
  </x:si>
  <x:si>
    <x:t xml:space="preserve">Phù hợp (EditMode)</x:t>
  </x:si>
  <x:si>
    <x:t xml:space="preserve">Not Run</x:t>
  </x:si>
  <x:si>
    <x:t xml:space="preserve">Unity test: PlacementServiceTests.CanPlace_EmptyBoardInsideBounds_ReturnsTrue</x:t>
  </x:si>
  <x:si>
    <x:t xml:space="preserve">TC-002</x:t>
  </x:si>
  <x:si>
    <x:t xml:space="preserve">Place hợp lệ đánh dấu mọi ô của khối</x:t>
  </x:si>
  <x:si>
    <x:t xml:space="preserve">Xác minh: place hợp lệ đánh dấu mọi ô của khối</x:t>
  </x:si>
  <x:si>
    <x:t xml:space="preserve">Khối 2x2, vị trí (2,2)</x:t>
  </x:si>
  <x:si>
    <x:t xml:space="preserve">1. Arrange: bàn trống
2. Act: Place tại (2,2)
3. Assert: Success, 4 ô, mỗi ô Occupied, tổng ô Occupied = 4</x:t>
  </x:si>
  <x:si>
    <x:t xml:space="preserve">Success = true; đúng 4 ô được đánh dấu Occupied</x:t>
  </x:si>
  <x:si>
    <x:t xml:space="preserve">Unity test: PlacementServiceTests.Place_Valid_OccupiesAllShapeCells</x:t>
  </x:si>
  <x:si>
    <x:t xml:space="preserve">TC-003</x:t>
  </x:si>
  <x:si>
    <x:t xml:space="preserve">Chuẩn hóa vị trí ô của khối khi tính ô đặt</x:t>
  </x:si>
  <x:si>
    <x:t xml:space="preserve">Xác minh: chuẩn hóa vị trí ô của khối khi tính ô đặt</x:t>
  </x:si>
  <x:si>
    <x:t xml:space="preserve">Khối có ô (2,3),(3,3); neo (1,1)</x:t>
  </x:si>
  <x:si>
    <x:t xml:space="preserve">1. Arrange: khối lệch gốc
2. Act: GetPlacementCells
3. Assert: (1,1) và (2,1)</x:t>
  </x:si>
  <x:si>
    <x:t xml:space="preserve">Danh sách ô đặt = (1,1),(2,1)</x:t>
  </x:si>
  <x:si>
    <x:t xml:space="preserve">Medium</x:t>
  </x:si>
  <x:si>
    <x:t xml:space="preserve">Unity test: PlacementServiceTests.GetPlacementCells_NormalizesShapeOffsets</x:t>
  </x:si>
  <x:si>
    <x:t xml:space="preserve">TC-004</x:t>
  </x:si>
  <x:si>
    <x:t xml:space="preserve">Đặt khối đơn tại bốn góc bàn</x:t>
  </x:si>
  <x:si>
    <x:t xml:space="preserve">Xác minh: đặt khối đơn tại bốn góc bàn</x:t>
  </x:si>
  <x:si>
    <x:t xml:space="preserve">(0,0),(7,0),(0,7),(7,7)</x:t>
  </x:si>
  <x:si>
    <x:t xml:space="preserve">1. Arrange: bàn trống
2. Act: Place khối đơn tại từng góc
3. Assert: Success và ô góc Occupied</x:t>
  </x:si>
  <x:si>
    <x:t xml:space="preserve">Cả 4 góc đặt thành công</x:t>
  </x:si>
  <x:si>
    <x:t xml:space="preserve">Boundary</x:t>
  </x:si>
  <x:si>
    <x:t xml:space="preserve">Unity test: PlacementServiceTests.Place_AtBoardCorners_Succeeds (4 tham số)</x:t>
  </x:si>
  <x:si>
    <x:t xml:space="preserve">TC-005</x:t>
  </x:si>
  <x:si>
    <x:t xml:space="preserve">REQ-011, REQ-012</x:t>
  </x:si>
  <x:si>
    <x:t xml:space="preserve">Từ chối đặt khối chồng lên ô đã có khối</x:t>
  </x:si>
  <x:si>
    <x:t xml:space="preserve">Xác minh: từ chối đặt khối chồng lên ô đã có khối</x:t>
  </x:si>
  <x:si>
    <x:t xml:space="preserve">Ô (4,4) đã Occupied</x:t>
  </x:si>
  <x:si>
    <x:t xml:space="preserve">Khối 2x2 tại (3,3)</x:t>
  </x:si>
  <x:si>
    <x:t xml:space="preserve">1. Arrange: đặt (4,4)
2. Act: CanPlace khối 2x2 tại (3,3)
3. Assert: false</x:t>
  </x:si>
  <x:si>
    <x:t xml:space="preserve">CanPlace trả về false</x:t>
  </x:si>
  <x:si>
    <x:t xml:space="preserve">Negative</x:t>
  </x:si>
  <x:si>
    <x:t xml:space="preserve">Unity test: PlacementServiceTests.CanPlace_OverlapsOccupiedCell_ReturnsFalse</x:t>
  </x:si>
  <x:si>
    <x:t xml:space="preserve">TC-006</x:t>
  </x:si>
  <x:si>
    <x:t xml:space="preserve">Biên mép bàn với khối 2 ô ngang</x:t>
  </x:si>
  <x:si>
    <x:t xml:space="preserve">Xác minh: biên mép bàn với khối 2 ô ngang</x:t>
  </x:si>
  <x:si>
    <x:t xml:space="preserve">Vị trí neo (6,0)=đặt được; (7,0),(-1,0),(0,8)=không; (0,7)=đặt được</x:t>
  </x:si>
  <x:si>
    <x:t xml:space="preserve">1. Arrange: bàn trống
2. Act: CanPlace tại 5 vị trí
3. Assert: đúng/sai theo bảng</x:t>
  </x:si>
  <x:si>
    <x:t xml:space="preserve">Chỉ đặt được khi mọi ô nằm trong bàn</x:t>
  </x:si>
  <x:si>
    <x:t xml:space="preserve">Unity test: PlacementServiceTests.CanPlace_HorizontalDomino_BoundaryPositions (5 tham số)</x:t>
  </x:si>
  <x:si>
    <x:t xml:space="preserve">TC-007</x:t>
  </x:si>
  <x:si>
    <x:t xml:space="preserve">Khối dọc vượt đáy bàn bị từ chối</x:t>
  </x:si>
  <x:si>
    <x:t xml:space="preserve">Xác minh: khối dọc vượt đáy bàn bị từ chối</x:t>
  </x:si>
  <x:si>
    <x:t xml:space="preserve">Khối 2 ô dọc, neo (0,7) và (0,6)</x:t>
  </x:si>
  <x:si>
    <x:t xml:space="preserve">1. Arrange: bàn trống
2. Act: CanPlace tại (0,7) và (0,6)
3. Assert: false rồi true</x:t>
  </x:si>
  <x:si>
    <x:t xml:space="preserve">(0,7) không đặt được; (0,6) đặt được</x:t>
  </x:si>
  <x:si>
    <x:t xml:space="preserve">Unity test: PlacementServiceTests.CanPlace_VerticalDominoPartlyBelowBoard_ReturnsFalse</x:t>
  </x:si>
  <x:si>
    <x:t xml:space="preserve">TC-008</x:t>
  </x:si>
  <x:si>
    <x:t xml:space="preserve">REQ-008, REQ-011</x:t>
  </x:si>
  <x:si>
    <x:t xml:space="preserve">Không đặt được khối lên ô bị khóa</x:t>
  </x:si>
  <x:si>
    <x:t xml:space="preserve">Xác minh: không đặt được khối lên ô bị khóa</x:t>
  </x:si>
  <x:si>
    <x:t xml:space="preserve">Bàn 8x8 có ô (2,2) bị khóa</x:t>
  </x:si>
  <x:si>
    <x:t xml:space="preserve">Khối đơn tại (2,2) và (2,3)</x:t>
  </x:si>
  <x:si>
    <x:t xml:space="preserve">1. Arrange: bàn khóa (2,2)
2. Act: CanPlace
3. Assert: (2,2) false, (2,3) true</x:t>
  </x:si>
  <x:si>
    <x:t xml:space="preserve">Ô bị khóa không đặt được</x:t>
  </x:si>
  <x:si>
    <x:t xml:space="preserve">Unity test: PlacementServiceTests.CanPlace_OnDisabledCell_ReturnsFalse</x:t>
  </x:si>
  <x:si>
    <x:t xml:space="preserve">TC-009</x:t>
  </x:si>
  <x:si>
    <x:t xml:space="preserve">REQ-012</x:t>
  </x:si>
  <x:si>
    <x:t xml:space="preserve">Đặt không hợp lệ không làm thay đổi bàn chơi</x:t>
  </x:si>
  <x:si>
    <x:t xml:space="preserve">Xác minh: đặt không hợp lệ không làm thay đổi bàn chơi</x:t>
  </x:si>
  <x:si>
    <x:t xml:space="preserve">Ô (1,1) Occupied</x:t>
  </x:si>
  <x:si>
    <x:t xml:space="preserve">Khối 2x2 tại (0,0)</x:t>
  </x:si>
  <x:si>
    <x:t xml:space="preserve">1. Arrange: đặt (1,1)
2. Act: Place
3. Assert: Success=false, chỉ còn 1 ô Occupied, các ô (0,0),(1,0),(0,1) vẫn trống</x:t>
  </x:si>
  <x:si>
    <x:t xml:space="preserve">Board không thay đổi</x:t>
  </x:si>
  <x:si>
    <x:t xml:space="preserve">Unity test: PlacementServiceTests.Place_Invalid_LeavesBoardUnchanged</x:t>
  </x:si>
  <x:si>
    <x:t xml:space="preserve">TC-010</x:t>
  </x:si>
  <x:si>
    <x:t xml:space="preserve">REQ-017</x:t>
  </x:si>
  <x:si>
    <x:t xml:space="preserve">Không còn vị trí hợp lệ khi bàn đầy</x:t>
  </x:si>
  <x:si>
    <x:t xml:space="preserve">Xác minh: không còn vị trí hợp lệ khi bàn đầy</x:t>
  </x:si>
  <x:si>
    <x:t xml:space="preserve">Bàn 8x8 đầy</x:t>
  </x:si>
  <x:si>
    <x:t xml:space="preserve">Khối đơn</x:t>
  </x:si>
  <x:si>
    <x:t xml:space="preserve">1. Arrange: lấp đầy bàn
2. Act: HasAnyValidPlacement
3. Assert: false</x:t>
  </x:si>
  <x:si>
    <x:t xml:space="preserve">false (điều kiện thua khi mọi khối đều như vậy)</x:t>
  </x:si>
  <x:si>
    <x:t xml:space="preserve">Unity test: PlacementServiceTests.HasAnyValidPlacement_FullBoard_ReturnsFalse</x:t>
  </x:si>
  <x:si>
    <x:t xml:space="preserve">TC-011</x:t>
  </x:si>
  <x:si>
    <x:t xml:space="preserve">Còn đúng một ô trống: khối đơn đặt được, khối 2 ô không</x:t>
  </x:si>
  <x:si>
    <x:t xml:space="preserve">Xác minh: còn đúng một ô trống: khối đơn đặt được, khối 2 ô không</x:t>
  </x:si>
  <x:si>
    <x:t xml:space="preserve">Bàn đầy trừ ô (3,3)</x:t>
  </x:si>
  <x:si>
    <x:t xml:space="preserve">Khối đơn và khối 2 ô ngang</x:t>
  </x:si>
  <x:si>
    <x:t xml:space="preserve">1. Arrange: đầy trừ (3,3)
2. Act: HasAnyValidPlacement cho từng khối
3. Assert: true và false</x:t>
  </x:si>
  <x:si>
    <x:t xml:space="preserve">Khối đơn: true; khối 2 ô: false</x:t>
  </x:si>
  <x:si>
    <x:t xml:space="preserve">Unity test: PlacementServiceTests.HasAnyValidPlacement_OneHole_SingleTrueDominoFalse</x:t>
  </x:si>
  <x:si>
    <x:t xml:space="preserve">TC-012</x:t>
  </x:si>
  <x:si>
    <x:t xml:space="preserve">Số vị trí hợp lệ của khối đơn trên bàn trống là 64</x:t>
  </x:si>
  <x:si>
    <x:t xml:space="preserve">Xác minh: số vị trí hợp lệ của khối đơn trên bàn trống là 64</x:t>
  </x:si>
  <x:si>
    <x:t xml:space="preserve">1. Arrange: bàn trống
2. Act: GetValidPlacements
3. Assert: 64</x:t>
  </x:si>
  <x:si>
    <x:t xml:space="preserve">64 vị trí</x:t>
  </x:si>
  <x:si>
    <x:t xml:space="preserve">Low</x:t>
  </x:si>
  <x:si>
    <x:t xml:space="preserve">Unity test: PlacementServiceTests.GetValidPlacements_EmptyBoard_Single_Returns64</x:t>
  </x:si>
  <x:si>
    <x:t xml:space="preserve">TC-013</x:t>
  </x:si>
  <x:si>
    <x:t xml:space="preserve">REQ-008</x:t>
  </x:si>
  <x:si>
    <x:t xml:space="preserve">Bàn mặc định 8x8 với 64 ô chơi được</x:t>
  </x:si>
  <x:si>
    <x:t xml:space="preserve">Xác minh: bàn mặc định 8x8 với 64 ô chơi được</x:t>
  </x:si>
  <x:si>
    <x:t xml:space="preserve">BoardData mặc định</x:t>
  </x:si>
  <x:si>
    <x:t xml:space="preserve">-</x:t>
  </x:si>
  <x:si>
    <x:t xml:space="preserve">1. Arrange: tạo BoardData mặc định
2. Act: đọc Width, Height, đếm ô chơi được
3. Assert: 8, 8, 64</x:t>
  </x:si>
  <x:si>
    <x:t xml:space="preserve">8x8; 64 ô</x:t>
  </x:si>
  <x:si>
    <x:t xml:space="preserve">Unity test: BoardResolverTests.Board_DefaultData_Is8x8With64PlayableCells. Kích thước từng level Adventure kiểm thủ công (TC thủ công)</x:t>
  </x:si>
  <x:si>
    <x:t xml:space="preserve">TC-014</x:t>
  </x:si>
  <x:si>
    <x:t xml:space="preserve">REQ-013</x:t>
  </x:si>
  <x:si>
    <x:t xml:space="preserve">Xóa hàng đầy và giữ nguyên ô khác</x:t>
  </x:si>
  <x:si>
    <x:t xml:space="preserve">Xác minh: xóa hàng đầy và giữ nguyên ô khác</x:t>
  </x:si>
  <x:si>
    <x:t xml:space="preserve">Hàng 0 đầy; ô (3,3) Occupied</x:t>
  </x:si>
  <x:si>
    <x:t xml:space="preserve">1. Arrange: lấp hàng 0 và (3,3)
2. Act: Resolve
3. Assert: 1 dòng, 8 ô xóa, Rows=[0], hàng 0 trống, (3,3) còn</x:t>
  </x:si>
  <x:si>
    <x:t xml:space="preserve">Chỉ hàng 0 bị xóa</x:t>
  </x:si>
  <x:si>
    <x:t xml:space="preserve">Unity test: BoardResolverTests.Resolve_FullRow_ClearsRowAndKeepsOtherCells</x:t>
  </x:si>
  <x:si>
    <x:t xml:space="preserve">TC-015</x:t>
  </x:si>
  <x:si>
    <x:t xml:space="preserve">Xóa cột đầy</x:t>
  </x:si>
  <x:si>
    <x:t xml:space="preserve">Xác minh: xóa cột đầy</x:t>
  </x:si>
  <x:si>
    <x:t xml:space="preserve">Cột 5 đầy</x:t>
  </x:si>
  <x:si>
    <x:t xml:space="preserve">1. Arrange: lấp cột 5
2. Act: Resolve
3. Assert: 1 dòng, 8 ô, Columns=[5]</x:t>
  </x:si>
  <x:si>
    <x:t xml:space="preserve">Cột 5 bị xóa</x:t>
  </x:si>
  <x:si>
    <x:t xml:space="preserve">Unity test: BoardResolverTests.Resolve_FullColumn_ClearsColumn</x:t>
  </x:si>
  <x:si>
    <x:t xml:space="preserve">TC-016</x:t>
  </x:si>
  <x:si>
    <x:t xml:space="preserve">Hàng thiếu một ô không bị xóa</x:t>
  </x:si>
  <x:si>
    <x:t xml:space="preserve">Xác minh: hàng thiếu một ô không bị xóa</x:t>
  </x:si>
  <x:si>
    <x:t xml:space="preserve">Hàng 0 có 7/8 ô</x:t>
  </x:si>
  <x:si>
    <x:t xml:space="preserve">1. Arrange: lấp (0..6,0)
2. Act: Resolve
3. Assert: 0 dòng, 0 ô xóa, còn 7 ô</x:t>
  </x:si>
  <x:si>
    <x:t xml:space="preserve">Không xóa</x:t>
  </x:si>
  <x:si>
    <x:t xml:space="preserve">Unity test: BoardResolverTests.Resolve_RowMissingOneCell_IsNotCleared</x:t>
  </x:si>
  <x:si>
    <x:t xml:space="preserve">TC-017</x:t>
  </x:si>
  <x:si>
    <x:t xml:space="preserve">Hai hàng đầy bị xóa trong cùng một lượt</x:t>
  </x:si>
  <x:si>
    <x:t xml:space="preserve">Xác minh: hai hàng đầy bị xóa trong cùng một lượt</x:t>
  </x:si>
  <x:si>
    <x:t xml:space="preserve">Hàng 0 và 1 đầy; ô (4,4) Occupied</x:t>
  </x:si>
  <x:si>
    <x:t xml:space="preserve">1. Arrange: lấp 2 hàng
2. Act: Resolve
3. Assert: 2 dòng, 16 ô, còn 1 ô</x:t>
  </x:si>
  <x:si>
    <x:t xml:space="preserve">ClearedLines = 2; 16 ô</x:t>
  </x:si>
  <x:si>
    <x:t xml:space="preserve">Unity test: BoardResolverTests.Resolve_TwoFullRows_ClearsBothInOneTurn</x:t>
  </x:si>
  <x:si>
    <x:t xml:space="preserve">TC-018</x:t>
  </x:si>
  <x:si>
    <x:t xml:space="preserve">REQ-014</x:t>
  </x:si>
  <x:si>
    <x:t xml:space="preserve">Hàng và cột giao nhau chỉ tính một lần (15 ô)</x:t>
  </x:si>
  <x:si>
    <x:t xml:space="preserve">Xác minh: hàng và cột giao nhau chỉ tính một lần (15 ô)</x:t>
  </x:si>
  <x:si>
    <x:t xml:space="preserve">Hàng 0 và cột 0 đầy</x:t>
  </x:si>
  <x:si>
    <x:t xml:space="preserve">1. Arrange: lấp hàng 0 và cột 0
2. Act: Resolve
3. Assert: 2 dòng, 15 ô</x:t>
  </x:si>
  <x:si>
    <x:t xml:space="preserve">ClearedCells = 15</x:t>
  </x:si>
  <x:si>
    <x:t xml:space="preserve">Unity test: BoardResolverTests.Resolve_RowAndColumnIntersect_Counts15UniqueCells</x:t>
  </x:si>
  <x:si>
    <x:t xml:space="preserve">TC-019</x:t>
  </x:si>
  <x:si>
    <x:t xml:space="preserve">REQ-015</x:t>
  </x:si>
  <x:si>
    <x:t xml:space="preserve">Ô bị khóa được bỏ qua khi xét hàng đầy</x:t>
  </x:si>
  <x:si>
    <x:t xml:space="preserve">Xác minh: ô bị khóa được bỏ qua khi xét hàng đầy</x:t>
  </x:si>
  <x:si>
    <x:t xml:space="preserve">Ô (0,0) bị khóa; (1..7,0) Occupied</x:t>
  </x:si>
  <x:si>
    <x:t xml:space="preserve">1. Arrange: khóa (0,0), lấp 7 ô còn lại
2. Act: Resolve
3. Assert: 1 dòng, 7 ô</x:t>
  </x:si>
  <x:si>
    <x:t xml:space="preserve">Hàng 0 được xóa dù có ô khóa</x:t>
  </x:si>
  <x:si>
    <x:t xml:space="preserve">Unity test: BoardResolverTests.Resolve_DisabledCellInRow_IgnoredWhenNotRequireCompleteLines</x:t>
  </x:si>
  <x:si>
    <x:t xml:space="preserve">TC-020</x:t>
  </x:si>
  <x:si>
    <x:t xml:space="preserve">Tùy chọn RequireCompleteLines chặn xóa khi hàng có ô khóa</x:t>
  </x:si>
  <x:si>
    <x:t xml:space="preserve">Xác minh: tùy chọn RequireCompleteLines chặn xóa khi hàng có ô khóa</x:t>
  </x:si>
  <x:si>
    <x:t xml:space="preserve">Như trên, RequireCompleteLines = true</x:t>
  </x:si>
  <x:si>
    <x:t xml:space="preserve">1. Arrange: như trên và bật tùy chọn
2. Act: Resolve
3. Assert: 0 dòng</x:t>
  </x:si>
  <x:si>
    <x:t xml:space="preserve">Unity test: BoardResolverTests.Resolve_DisabledCellInRow_BlocksClearWhenRequireCompleteLines. Tùy chọn của BoardData, GDD không mô tả; kiểm để ghi nhận hành vi</x:t>
  </x:si>
  <x:si>
    <x:t xml:space="preserve">TC-021</x:t>
  </x:si>
  <x:si>
    <x:t xml:space="preserve">REQ-016</x:t>
  </x:si>
  <x:si>
    <x:t xml:space="preserve">Nhận diện full clear khi bàn trống sau khi xóa</x:t>
  </x:si>
  <x:si>
    <x:t xml:space="preserve">Xác minh: nhận diện full clear khi bàn trống sau khi xóa</x:t>
  </x:si>
  <x:si>
    <x:t xml:space="preserve">Chỉ có hàng 0 đầy</x:t>
  </x:si>
  <x:si>
    <x:t xml:space="preserve">1. Arrange: lấp hàng 0
2. Act: Resolve
3. Assert: IsFullClear = true</x:t>
  </x:si>
  <x:si>
    <x:t xml:space="preserve">IsFullClear = true</x:t>
  </x:si>
  <x:si>
    <x:t xml:space="preserve">Unity test: BoardResolverTests.Resolve_BoardEmptyAfterClear_IsFullClear</x:t>
  </x:si>
  <x:si>
    <x:t xml:space="preserve">TC-022</x:t>
  </x:si>
  <x:si>
    <x:t xml:space="preserve">REQ-013, REQ-016</x:t>
  </x:si>
  <x:si>
    <x:t xml:space="preserve">Bàn trống: không có gì để xóa và không phải full clear</x:t>
  </x:si>
  <x:si>
    <x:t xml:space="preserve">Xác minh: bàn trống: không có gì để xóa và không phải full clear</x:t>
  </x:si>
  <x:si>
    <x:t xml:space="preserve">Bàn trống</x:t>
  </x:si>
  <x:si>
    <x:t xml:space="preserve">1. Arrange: bàn trống
2. Act: Resolve
3. Assert: 0 dòng, IsFullClear = false</x:t>
  </x:si>
  <x:si>
    <x:t xml:space="preserve">0 dòng; IsFullClear = false</x:t>
  </x:si>
  <x:si>
    <x:t xml:space="preserve">Unity test: BoardResolverTests.Resolve_EmptyBoard_ClearsNothing</x:t>
  </x:si>
  <x:si>
    <x:t xml:space="preserve">TC-023</x:t>
  </x:si>
  <x:si>
    <x:t xml:space="preserve">REQ-018</x:t>
  </x:si>
  <x:si>
    <x:t xml:space="preserve">Điểm đặt khối không xóa dòng (Endless)</x:t>
  </x:si>
  <x:si>
    <x:t xml:space="preserve">Xác minh: điểm đặt khối không xóa dòng (Endless)</x:t>
  </x:si>
  <x:si>
    <x:t xml:space="preserve">Điểm 0</x:t>
  </x:si>
  <x:si>
    <x:t xml:space="preserve">Khối 4 ô</x:t>
  </x:si>
  <x:si>
    <x:t xml:space="preserve">1. Arrange: ScoreSystem Endless
2. Act: đặt khối 2x2, Apply
3. Assert: gain = 40, combo = 0</x:t>
  </x:si>
  <x:si>
    <x:t xml:space="preserve">+40</x:t>
  </x:si>
  <x:si>
    <x:t xml:space="preserve">Unity test: ScoreSystemTests.Placement_NoClear_Endless_Gain40_For4CellBlock</x:t>
  </x:si>
  <x:si>
    <x:t xml:space="preserve">TC-024</x:t>
  </x:si>
  <x:si>
    <x:t xml:space="preserve">Điểm đặt khối không xóa dòng (Adventure)</x:t>
  </x:si>
  <x:si>
    <x:t xml:space="preserve">Xác minh: điểm đặt khối không xóa dòng (Adventure)</x:t>
  </x:si>
  <x:si>
    <x:t xml:space="preserve">1. Arrange: ScoreSystem Adventure
2. Act: đặt khối 2x2, Apply
3. Assert: gain = 40, combo = 0</x:t>
  </x:si>
  <x:si>
    <x:t xml:space="preserve">Unity test: ScoreSystemTests.Placement_NoClear_Adventure_Gain40_For4CellBlock</x:t>
  </x:si>
  <x:si>
    <x:t xml:space="preserve">TC-025</x:t>
  </x:si>
  <x:si>
    <x:t xml:space="preserve">Đặt không thành công thì không cộng điểm</x:t>
  </x:si>
  <x:si>
    <x:t xml:space="preserve">Xác minh: đặt không thành công thì không cộng điểm</x:t>
  </x:si>
  <x:si>
    <x:t xml:space="preserve">PlacementResult.Success = false</x:t>
  </x:si>
  <x:si>
    <x:t xml:space="preserve">1. Arrange: kết quả đặt thất bại
2. Act: Apply
3. Assert: 0</x:t>
  </x:si>
  <x:si>
    <x:t xml:space="preserve">Điểm không đổi</x:t>
  </x:si>
  <x:si>
    <x:t xml:space="preserve">Unity test: ScoreSystemTests.Apply_InvalidPlacement_AddsNoScore</x:t>
  </x:si>
  <x:si>
    <x:t xml:space="preserve">TC-026</x:t>
  </x:si>
  <x:si>
    <x:t xml:space="preserve">REQ-019, REQ-020</x:t>
  </x:si>
  <x:si>
    <x:t xml:space="preserve">Adventure: combo 1, xóa một hàng 8 ô bằng khối 1 ô</x:t>
  </x:si>
  <x:si>
    <x:t xml:space="preserve">Xác minh: adventure: combo 1, xóa một hàng 8 ô bằng khối 1 ô</x:t>
  </x:si>
  <x:si>
    <x:t xml:space="preserve">Combo 0</x:t>
  </x:si>
  <x:si>
    <x:t xml:space="preserve">Khối 1 ô</x:t>
  </x:si>
  <x:si>
    <x:t xml:space="preserve">1. Arrange: hàng 0 thiếu ô cuối, thêm ô (4,4)
2. Act: đặt, Resolve, Apply
3. Assert: 90, combo = 1</x:t>
  </x:si>
  <x:si>
    <x:t xml:space="preserve">+90 (10 + 80 x 1)</x:t>
  </x:si>
  <x:si>
    <x:t xml:space="preserve">Unity test: ScoreSystemTests.Adventure_Combo1_ClearOneRow_Gain90</x:t>
  </x:si>
  <x:si>
    <x:t xml:space="preserve">TC-027</x:t>
  </x:si>
  <x:si>
    <x:t xml:space="preserve">REQ-014, REQ-019, REQ-020, REQ-021</x:t>
  </x:si>
  <x:si>
    <x:t xml:space="preserve">Adventure: combo 2 xóa hàng + cột giao nhau (15 ô)</x:t>
  </x:si>
  <x:si>
    <x:t xml:space="preserve">Xác minh: adventure: combo 2 xóa hàng + cột giao nhau (15 ô)</x:t>
  </x:si>
  <x:si>
    <x:t xml:space="preserve">Lượt 1 đã xóa một hàng (combo 1)</x:t>
  </x:si>
  <x:si>
    <x:t xml:space="preserve">1. Arrange: lượt 1 xóa hàng 7; chuẩn bị hàng 0 và cột 0
2. Act: lượt 2 đặt tại (0,0)
3. Assert: lượt 1 = 90; lượt 2 = 310; combo = 2</x:t>
  </x:si>
  <x:si>
    <x:t xml:space="preserve">Lượt 2: +310 (10 + 15 x 10 x 2)</x:t>
  </x:si>
  <x:si>
    <x:t xml:space="preserve">Unity test: ScoreSystemTests.Adventure_Combo2_RowAndColumnIntersect_Gain310</x:t>
  </x:si>
  <x:si>
    <x:t xml:space="preserve">TC-028</x:t>
  </x:si>
  <x:si>
    <x:t xml:space="preserve">REQ-021</x:t>
  </x:si>
  <x:si>
    <x:t xml:space="preserve">Adventure: combo reset sau 3 lần đặt liên tiếp không xóa</x:t>
  </x:si>
  <x:si>
    <x:t xml:space="preserve">Xác minh: adventure: combo reset sau 3 lần đặt liên tiếp không xóa</x:t>
  </x:si>
  <x:si>
    <x:t xml:space="preserve">Combo = 1</x:t>
  </x:si>
  <x:si>
    <x:t xml:space="preserve">3 khối đơn không xóa</x:t>
  </x:si>
  <x:si>
    <x:t xml:space="preserve">1. Arrange: xóa 1 hàng (combo 1)
2. Act: đặt 3 khối không xóa
3. Assert: combo 1, 1, rồi 0</x:t>
  </x:si>
  <x:si>
    <x:t xml:space="preserve">Combo về 0 ở lần thứ 3</x:t>
  </x:si>
  <x:si>
    <x:t xml:space="preserve">State Transition</x:t>
  </x:si>
  <x:si>
    <x:t xml:space="preserve">Unity test: ScoreSystemTests.Adventure_ComboResetsAfterThreeConsecutiveMisses</x:t>
  </x:si>
  <x:si>
    <x:t xml:space="preserve">TC-029</x:t>
  </x:si>
  <x:si>
    <x:t xml:space="preserve">REQ-025</x:t>
  </x:si>
  <x:si>
    <x:t xml:space="preserve">Adventure: xóa sạch bàn không có thưởng Rainbow</x:t>
  </x:si>
  <x:si>
    <x:t xml:space="preserve">Xác minh: adventure: xóa sạch bàn không có thưởng Rainbow</x:t>
  </x:si>
  <x:si>
    <x:t xml:space="preserve">Bàn chỉ có hàng 0</x:t>
  </x:si>
  <x:si>
    <x:t xml:space="preserve">1. Arrange: hàng 0 thiếu ô cuối
2. Act: đặt, Apply
3. Assert: 90 và RainbowTriggered = false</x:t>
  </x:si>
  <x:si>
    <x:t xml:space="preserve">+90, không bonus</x:t>
  </x:si>
  <x:si>
    <x:t xml:space="preserve">Unity test: ScoreSystemTests.Adventure_FullClear_DoesNotGiveRainbowBonus</x:t>
  </x:si>
  <x:si>
    <x:t xml:space="preserve">TC-030</x:t>
  </x:si>
  <x:si>
    <x:t xml:space="preserve">REQ-019</x:t>
  </x:si>
  <x:si>
    <x:t xml:space="preserve">Nhánh dự phòng (không dùng combo streak): hệ số theo số dòng</x:t>
  </x:si>
  <x:si>
    <x:t xml:space="preserve">Xác minh: nhánh dự phòng (không dùng combo streak): hệ số theo số dòng</x:t>
  </x:si>
  <x:si>
    <x:t xml:space="preserve">UseComboStreak = false</x:t>
  </x:si>
  <x:si>
    <x:t xml:space="preserve">Khối 2 ô dọc xóa 2 hàng</x:t>
  </x:si>
  <x:si>
    <x:t xml:space="preserve">1. Arrange: 2 hàng thiếu cột 7
2. Act: đặt khối dọc
3. Assert: 260</x:t>
  </x:si>
  <x:si>
    <x:t xml:space="preserve">+260 (20 + 160 x 1.5)</x:t>
  </x:si>
  <x:si>
    <x:t xml:space="preserve">Unity test: ScoreSystemTests.ClassicRule_TwoLines_UsesAdditionalLineMultiplier. Game luôn dùng UseComboStreak = true; test ghi nhận hành vi nhánh dự phòng</x:t>
  </x:si>
  <x:si>
    <x:t xml:space="preserve">TC-031</x:t>
  </x:si>
  <x:si>
    <x:t xml:space="preserve">REQ-022, REQ-025, REQ-026</x:t>
  </x:si>
  <x:si>
    <x:t xml:space="preserve">Endless: chuỗi xóa hàng liên tiếp 90, 98, 106, 114, 230, 130</x:t>
  </x:si>
  <x:si>
    <x:t xml:space="preserve">Xác minh: endless: chuỗi xóa hàng liên tiếp 90, 98, 106, 114, 230, 130</x:t>
  </x:si>
  <x:si>
    <x:t xml:space="preserve">Combo 0; ô (4,4) giữ để tránh full clear</x:t>
  </x:si>
  <x:si>
    <x:t xml:space="preserve">Khối 1 ô xóa hàng 8 ô, 6 lượt</x:t>
  </x:si>
  <x:si>
    <x:t xml:space="preserve">1. Arrange: ScoreSystem Endless
2. Act: lặp 6 lượt xóa hàng 0
3. Assert: từng lượt và combo 1..6, HighestCombo = 6</x:t>
  </x:si>
  <x:si>
    <x:t xml:space="preserve">90, 98, 106, 114, 230, 130</x:t>
  </x:si>
  <x:si>
    <x:t xml:space="preserve">Unity test: ScoreSystemTests.Endless_ConsecutiveRowClears_GainSequence_90_98_106_114_230_130. Khớp ví dụ trong GDD §7.2</x:t>
  </x:si>
  <x:si>
    <x:t xml:space="preserve">TC-032</x:t>
  </x:si>
  <x:si>
    <x:t xml:space="preserve">REQ-023, REQ-026</x:t>
  </x:si>
  <x:si>
    <x:t xml:space="preserve">Endless: xóa 2 dòng một lượt dùng hệ số 1.5</x:t>
  </x:si>
  <x:si>
    <x:t xml:space="preserve">Xác minh: endless: xóa 2 dòng một lượt dùng hệ số 1.5</x:t>
  </x:si>
  <x:si>
    <x:t xml:space="preserve">+260 (20 + round(160 x 1.5) x 1.0)</x:t>
  </x:si>
  <x:si>
    <x:t xml:space="preserve">Unity test: ScoreSystemTests.Endless_TwoLinesOneTurn_Uses1p5LineMultiplier_Gain260</x:t>
  </x:si>
  <x:si>
    <x:t xml:space="preserve">TC-033</x:t>
  </x:si>
  <x:si>
    <x:t xml:space="preserve">REQ-014, REQ-023</x:t>
  </x:si>
  <x:si>
    <x:t xml:space="preserve">Endless: hàng + cột giao nhau (15 ô)</x:t>
  </x:si>
  <x:si>
    <x:t xml:space="preserve">Xác minh: endless: hàng + cột giao nhau (15 ô)</x:t>
  </x:si>
  <x:si>
    <x:t xml:space="preserve">Khối 1 ô tại (0,0)</x:t>
  </x:si>
  <x:si>
    <x:t xml:space="preserve">1. Arrange: hàng 0 và cột 0 thiếu ô (0,0)
2. Act: đặt
3. Assert: 235</x:t>
  </x:si>
  <x:si>
    <x:t xml:space="preserve">+235 (10 + round(150 x 1.5))</x:t>
  </x:si>
  <x:si>
    <x:t xml:space="preserve">Unity test: ScoreSystemTests.Endless_RowAndColumnIntersect_Gain235</x:t>
  </x:si>
  <x:si>
    <x:t xml:space="preserve">TC-034</x:t>
  </x:si>
  <x:si>
    <x:t xml:space="preserve">REQ-024</x:t>
  </x:si>
  <x:si>
    <x:t xml:space="preserve">Endless: combo reset ngay khi một lượt không xóa</x:t>
  </x:si>
  <x:si>
    <x:t xml:space="preserve">Xác minh: endless: combo reset ngay khi một lượt không xóa</x:t>
  </x:si>
  <x:si>
    <x:t xml:space="preserve">Khối đơn không xóa</x:t>
  </x:si>
  <x:si>
    <x:t xml:space="preserve">1. Arrange: xóa 1 hàng
2. Act: đặt khối không xóa
3. Assert: gain = 10, combo = 0</x:t>
  </x:si>
  <x:si>
    <x:t xml:space="preserve">Combo = 0</x:t>
  </x:si>
  <x:si>
    <x:t xml:space="preserve">Unity test: ScoreSystemTests.Endless_ComboResetsAfterOneMiss</x:t>
  </x:si>
  <x:si>
    <x:t xml:space="preserve">TC-035</x:t>
  </x:si>
  <x:si>
    <x:t xml:space="preserve">Endless: full clear ở combo 1 được thưởng Rainbow +100</x:t>
  </x:si>
  <x:si>
    <x:t xml:space="preserve">Xác minh: endless: full clear ở combo 1 được thưởng Rainbow +100</x:t>
  </x:si>
  <x:si>
    <x:t xml:space="preserve">1. Arrange: hàng 0 thiếu ô cuối
2. Act: đặt
3. Assert: 190, FullClear, RainbowTriggered</x:t>
  </x:si>
  <x:si>
    <x:t xml:space="preserve">+190 (10 + 80 + 100)</x:t>
  </x:si>
  <x:si>
    <x:t xml:space="preserve">Unity test: ScoreSystemTests.Endless_FullClearAtCombo1_GivesRainbowBonus_Gain190</x:t>
  </x:si>
  <x:si>
    <x:t xml:space="preserve">TC-036</x:t>
  </x:si>
  <x:si>
    <x:t xml:space="preserve">Endless: combo 5 trùng full clear chỉ nhận thưởng một lần</x:t>
  </x:si>
  <x:si>
    <x:t xml:space="preserve">Xác minh: endless: combo 5 trùng full clear chỉ nhận thưởng một lần</x:t>
  </x:si>
  <x:si>
    <x:t xml:space="preserve">Combo = 4 (Restore)</x:t>
  </x:si>
  <x:si>
    <x:t xml:space="preserve">1. Arrange: Restore combo 4; hàng 0 thiếu ô cuối
2. Act: đặt
3. Assert: 230, combo = 5</x:t>
  </x:si>
  <x:si>
    <x:t xml:space="preserve">+230 (10 + 120 + 100, một lần)</x:t>
  </x:si>
  <x:si>
    <x:t xml:space="preserve">Unity test: ScoreSystemTests.Endless_Combo5AndFullClearSameTurn_BonusAwardedOnce_Gain230</x:t>
  </x:si>
  <x:si>
    <x:t xml:space="preserve">TC-037</x:t>
  </x:si>
  <x:si>
    <x:t xml:space="preserve">REQ-019, REQ-020, REQ-022, REQ-023, REQ-026</x:t>
  </x:si>
  <x:si>
    <x:t xml:space="preserve">Đường tính điểm thứ hai (LevelManager): công thức tương đương ScoreSystem</x:t>
  </x:si>
  <x:si>
    <x:t xml:space="preserve">Xác minh: đường tính điểm thứ hai (LevelManager): công thức tương đương ScoreSystem</x:t>
  </x:si>
  <x:si>
    <x:t xml:space="preserve">16 bộ dữ liệu Endless/Adventure</x:t>
  </x:si>
  <x:si>
    <x:t xml:space="preserve">Số ô khối, số ô xóa, số dòng, combo, full clear</x:t>
  </x:si>
  <x:si>
    <x:t xml:space="preserve">1. Arrange: ScoreSystem + hàm sao chép công thức LevelManager
2. Act: cùng một bộ dữ liệu
3. Assert: điểm hai đường bằng nhau</x:t>
  </x:si>
  <x:si>
    <x:t xml:space="preserve">Kết quả hai đường tính trùng nhau ở mọi bộ dữ liệu</x:t>
  </x:si>
  <x:si>
    <x:t xml:space="preserve">Regression</x:t>
  </x:si>
  <x:si>
    <x:t xml:space="preserve">Unity test: ScoreSystemTests.ScoreSystem_MatchesLegacyLevelManagerFormula (16 tham số). Không chạy LevelManager thật (MonoBehaviour phụ thuộc scene); đường LevelManager được kiểm thủ công</x:t>
  </x:si>
  <x:si>
    <x:t xml:space="preserve">TC-038</x:t>
  </x:si>
  <x:si>
    <x:t xml:space="preserve">REQ-029</x:t>
  </x:si>
  <x:si>
    <x:t xml:space="preserve">Bộ lọc khối theo trọng số và theo level</x:t>
  </x:si>
  <x:si>
    <x:t xml:space="preserve">Xác minh: bộ lọc khối theo trọng số và theo level</x:t>
  </x:si>
  <x:si>
    <x:t xml:space="preserve">Hồ sơ có khối trọng số 0 và khối mở từ level 5</x:t>
  </x:si>
  <x:si>
    <x:t xml:space="preserve">Level 1 rồi level 5</x:t>
  </x:si>
  <x:si>
    <x:t xml:space="preserve">1. Arrange: 3 khối (bình thường, trọng số 0, MinLevel 5)
2. Act: CreateBatch nhiều lần
3. Assert: level 1 chỉ ra khối bình thường; level 5 có khối mở khóa</x:t>
  </x:si>
  <x:si>
    <x:t xml:space="preserve">Khối bị lọc không xuất hiện</x:t>
  </x:si>
  <x:si>
    <x:t xml:space="preserve">Unity test: SpawnAndQueueTests.CreateBatch_ExcludesZeroWeightAndShapesAboveLevel; SpawnAndQueueTests.CreateBatch_IncludesShapeOnceLevelRequirementMet</x:t>
  </x:si>
  <x:si>
    <x:t xml:space="preserve">TC-039</x:t>
  </x:si>
  <x:si>
    <x:t xml:space="preserve">REQ-030</x:t>
  </x:si>
  <x:si>
    <x:t xml:space="preserve">Mỗi khay có ít nhất 2 khối đặt được khi bàn gần đầy</x:t>
  </x:si>
  <x:si>
    <x:t xml:space="preserve">Xác minh: mỗi khay có ít nhất 2 khối đặt được khi bàn gần đầy</x:t>
  </x:si>
  <x:si>
    <x:t xml:space="preserve">Bàn đầy trừ 2 ô rời nhau</x:t>
  </x:si>
  <x:si>
    <x:t xml:space="preserve">Hồ sơ gồm khối đơn và khối 2x2</x:t>
  </x:si>
  <x:si>
    <x:t xml:space="preserve">1. Arrange: bàn còn 2 ô trống rời
2. Act: CreateBatch 100 lần
3. Assert: số khối đặt được &gt;= 2 mỗi lần</x:t>
  </x:si>
  <x:si>
    <x:t xml:space="preserve">Luôn &gt;= 2 khối đặt được</x:t>
  </x:si>
  <x:si>
    <x:t xml:space="preserve">Unity test: SpawnAndQueueTests.CreateBatch_AtLeastTwoPlayableShapes_WhenBoardAlmostFull</x:t>
  </x:si>
  <x:si>
    <x:t xml:space="preserve">TC-040</x:t>
  </x:si>
  <x:si>
    <x:t xml:space="preserve">REQ-031</x:t>
  </x:si>
  <x:si>
    <x:t xml:space="preserve">Ưu tiên khối khác nhau trong cùng khay</x:t>
  </x:si>
  <x:si>
    <x:t xml:space="preserve">Xác minh: ưu tiên khối khác nhau trong cùng khay</x:t>
  </x:si>
  <x:si>
    <x:t xml:space="preserve">3 hình khác nhau</x:t>
  </x:si>
  <x:si>
    <x:t xml:space="preserve">1. Arrange: hồ sơ 3 hình
2. Act: CreateBatch 100 lần
3. Assert: 3 khối khác nhau</x:t>
  </x:si>
  <x:si>
    <x:t xml:space="preserve">Không trùng khối</x:t>
  </x:si>
  <x:si>
    <x:t xml:space="preserve">Unity test: SpawnAndQueueTests.CreateBatch_PreferDistinctShapes_ThreeDifferentShapesWhenAvailable</x:t>
  </x:si>
  <x:si>
    <x:t xml:space="preserve">TC-041</x:t>
  </x:si>
  <x:si>
    <x:t xml:space="preserve">REQ-009</x:t>
  </x:si>
  <x:si>
    <x:t xml:space="preserve">Mỗi lần sinh có đúng 3 khối</x:t>
  </x:si>
  <x:si>
    <x:t xml:space="preserve">Xác minh: mỗi lần sinh có đúng 3 khối</x:t>
  </x:si>
  <x:si>
    <x:t xml:space="preserve">Hồ sơ BatchSize = 3</x:t>
  </x:si>
  <x:si>
    <x:t xml:space="preserve">1. Arrange: hồ sơ 3 hình
2. Act: CreateBatch 100 lần
3. Assert: Count = 3</x:t>
  </x:si>
  <x:si>
    <x:t xml:space="preserve">Luôn 3 khối</x:t>
  </x:si>
  <x:si>
    <x:t xml:space="preserve">Unity test: SpawnAndQueueTests.CreateBatch_ReturnsBatchSizeShapes</x:t>
  </x:si>
  <x:si>
    <x:t xml:space="preserve">TC-042</x:t>
  </x:si>
  <x:si>
    <x:t xml:space="preserve">Khay: dùng khối theo thứ tự tùy ý đến khi hết</x:t>
  </x:si>
  <x:si>
    <x:t xml:space="preserve">Xác minh: khay: dùng khối theo thứ tự tùy ý đến khi hết</x:t>
  </x:si>
  <x:si>
    <x:t xml:space="preserve">Khay có 3 khối</x:t>
  </x:si>
  <x:si>
    <x:t xml:space="preserve">1. Arrange: SetBatch 3 khối
2. Act: Consume khối thứ 2, 3, 1
3. Assert: số khối giảm dần, IsEmpty khi hết; khối không có trong khay trả false</x:t>
  </x:si>
  <x:si>
    <x:t xml:space="preserve">Khay rỗng sau 3 lần dùng</x:t>
  </x:si>
  <x:si>
    <x:t xml:space="preserve">Unity test: SpawnAndQueueTests.BlockQueue_SetBatchOfThree_ConsumeUntilEmpty; SpawnAndQueueTests.BlockQueue_ConsumeShapeNotInQueue_ReturnsFalse</x:t>
  </x:si>
  <x:si>
    <x:t xml:space="preserve">Lần đầu vào game hiện tutorial</x:t>
  </x:si>
  <x:si>
    <x:t xml:space="preserve">Fail</x:t>
  </x:si>
  <x:si>
    <x:t xml:space="preserve">TC-043</x:t>
  </x:si>
  <x:si>
    <x:t xml:space="preserve">REQ-001</x:t>
  </x:si>
  <x:si>
    <x:t xml:space="preserve">Giao diện màn main đúng theo design </x:t>
  </x:si>
  <x:si>
    <x:t xml:space="preserve">Xác minh: main Menu hiển thị đủ nút</x:t>
  </x:si>
  <x:si>
    <x:t xml:space="preserve">Mở game lần đầu</x:t>
  </x:si>
  <x:si>
    <x:t xml:space="preserve">Cài APK; dữ liệu game mới (xóa dữ liệu ứng dụng)</x:t>
  </x:si>
  <x:si>
    <x:t xml:space="preserve">1. Mở game
2. Chờ animation menu xong
3. Quan sát các nút</x:t>
  </x:si>
  <x:si>
    <x:t xml:space="preserve">Có nút Endless, Arcade, Lucky Spin, Settings</x:t>
  </x:si>
  <x:si>
    <x:t xml:space="preserve">Manual Testing</x:t>
  </x:si>
  <x:si>
    <x:t xml:space="preserve">Android APK 1.0 (Honor X7a RKY-LX2, Android 12, 1600x720)</x:t>
  </x:si>
  <x:si>
    <x:t xml:space="preserve">Không áp dụng (cần quan sát trên thiết bị)</x:t>
  </x:si>
  <x:si>
    <x:t xml:space="preserve">icon setting</x:t>
  </x:si>
  <x:si>
    <x:t xml:space="preserve">Xác minh: UI</x:t>
  </x:si>
  <x:si>
    <x:t xml:space="preserve">Xác minh: Khi bấm vào hiện popup setting</x:t>
  </x:si>
  <x:si>
    <x:t xml:space="preserve">Xác minh: Các chức năng trong popup setting hoạt động đúng</x:t>
  </x:si>
  <x:si>
    <x:t xml:space="preserve">TC-044</x:t>
  </x:si>
  <x:si>
    <x:t xml:space="preserve">REQ-001, REQ-055</x:t>
  </x:si>
  <x:si>
    <x:t xml:space="preserve">Chấm báo Lucky Spin khi còn lượt miễn phí</x:t>
  </x:si>
  <x:si>
    <x:t xml:space="preserve">Xác minh: chấm báo Lucky Spin khi còn lượt miễn phí</x:t>
  </x:si>
  <x:si>
    <x:t xml:space="preserve">Chưa quay Lucky Spin trong ngày</x:t>
  </x:si>
  <x:si>
    <x:t xml:space="preserve">1. Mở Main Menu
2. Quan sát nút Lucky Spin</x:t>
  </x:si>
  <x:si>
    <x:t xml:space="preserve">Có chấm báo; sau khi dùng hết lượt miễn phí chấm báo biến mất</x:t>
  </x:si>
  <x:si>
    <x:t xml:space="preserve">TC-045</x:t>
  </x:si>
  <x:si>
    <x:t xml:space="preserve">REQ-002</x:t>
  </x:si>
  <x:si>
    <x:t xml:space="preserve">Daily Bonus tự bật khi mở game ngày mới</x:t>
  </x:si>
  <x:si>
    <x:t xml:space="preserve">Xác minh: daily Bonus tự bật khi mở game ngày mới</x:t>
  </x:si>
  <x:si>
    <x:t xml:space="preserve">Chưa nhận Daily Bonus hôm nay</x:t>
  </x:si>
  <x:si>
    <x:t xml:space="preserve">1. Mở game
2. Chờ animation menu xong</x:t>
  </x:si>
  <x:si>
    <x:t xml:space="preserve">Popup Daily Bonus tự hiện sau khi animation xong</x:t>
  </x:si>
  <x:si>
    <x:t xml:space="preserve">TC-046</x:t>
  </x:si>
  <x:si>
    <x:t xml:space="preserve">REQ-003</x:t>
  </x:si>
  <x:si>
    <x:t xml:space="preserve">Chọn Endless vào thẳng màn chơi</x:t>
  </x:si>
  <x:si>
    <x:t xml:space="preserve">Xác minh: chọn Endless vào thẳng màn chơi</x:t>
  </x:si>
  <x:si>
    <x:t xml:space="preserve">Không có ván Endless dở</x:t>
  </x:si>
  <x:si>
    <x:t xml:space="preserve">1. Nhấn Endless
2. Quan sát</x:t>
  </x:si>
  <x:si>
    <x:t xml:space="preserve">Vào màn chơi Endless: Score 0, Combo 0, khay 3 khối</x:t>
  </x:si>
  <x:si>
    <x:t xml:space="preserve">Nếu có ván dở: xem REQ-070</x:t>
  </x:si>
  <x:si>
    <x:t xml:space="preserve">TC-047</x:t>
  </x:si>
  <x:si>
    <x:t xml:space="preserve">REQ-004</x:t>
  </x:si>
  <x:si>
    <x:t xml:space="preserve">Chọn Adventurevào Map level</x:t>
  </x:si>
  <x:si>
    <x:t xml:space="preserve">Xác minh: chọn Adventurevào Map level</x:t>
  </x:si>
  <x:si>
    <x:t xml:space="preserve">Không có ván Adventuredở</x:t>
  </x:si>
  <x:si>
    <x:t xml:space="preserve">1. Nhấn Arcade
2. Quan sát Map</x:t>
  </x:si>
  <x:si>
    <x:t xml:space="preserve">Hiện Map kiểu Tiled; Level 1 mở, các level sau khóa; tối đa 8 level mỗi hàng</x:t>
  </x:si>
  <x:si>
    <x:t xml:space="preserve">TC-048</x:t>
  </x:si>
  <x:si>
    <x:t xml:space="preserve">REQ-005</x:t>
  </x:si>
  <x:si>
    <x:t xml:space="preserve">Popup mục tiêu trước level</x:t>
  </x:si>
  <x:si>
    <x:t xml:space="preserve">Xác minh: popup mục tiêu trước level</x:t>
  </x:si>
  <x:si>
    <x:t xml:space="preserve">Dữ liệu mới</x:t>
  </x:si>
  <x:si>
    <x:t xml:space="preserve">Level 1 (Bonus), Level 2 (Score)</x:t>
  </x:si>
  <x:si>
    <x:t xml:space="preserve">1. Mở Level 1
2. Quan sát popup
3. Thoát, mở Level 2 (cần mở khóa)
4. Quan sát popup</x:t>
  </x:si>
  <x:si>
    <x:t xml:space="preserve">Popup mục tiêu hiện trước khi chơi, nêu đúng mục tiêu</x:t>
  </x:si>
  <x:si>
    <x:t xml:space="preserve">TC-049</x:t>
  </x:si>
  <x:si>
    <x:t xml:space="preserve">REQ-006</x:t>
  </x:si>
  <x:si>
    <x:t xml:space="preserve">Settings trong game: Resume, Retry, Back</x:t>
  </x:si>
  <x:si>
    <x:t xml:space="preserve">Xác minh: settings trong game: Resume, Retry, Back</x:t>
  </x:si>
  <x:si>
    <x:t xml:space="preserve">Đang chơi một ván</x:t>
  </x:si>
  <x:si>
    <x:t xml:space="preserve">1. Mở Settings
2. Nhấn Resume
3. Mở lại, nhấn Retry
4. Mở lại, nhấn Back</x:t>
  </x:si>
  <x:si>
    <x:t xml:space="preserve">Resume tiếp tục ván; Retry bắt đầu lại; Back về menu</x:t>
  </x:si>
  <x:si>
    <x:t xml:space="preserve">TC-050</x:t>
  </x:si>
  <x:si>
    <x:t xml:space="preserve">Back ở Main Menu mở popup Quit</x:t>
  </x:si>
  <x:si>
    <x:t xml:space="preserve">Xác minh: back ở Main Menu mở popup Quit</x:t>
  </x:si>
  <x:si>
    <x:t xml:space="preserve">Đang ở Main Menu</x:t>
  </x:si>
  <x:si>
    <x:t xml:space="preserve">1. Nhấn Back (nút/cử chỉ hệ thống Android)
2. Quan sát</x:t>
  </x:si>
  <x:si>
    <x:t xml:space="preserve">Hiện popup Quit</x:t>
  </x:si>
  <x:si>
    <x:t xml:space="preserve">TC-051</x:t>
  </x:si>
  <x:si>
    <x:t xml:space="preserve">REQ-007</x:t>
  </x:si>
  <x:si>
    <x:t xml:space="preserve">Endless: kết thúc ván hiện popup Failed</x:t>
  </x:si>
  <x:si>
    <x:t xml:space="preserve">Xác minh: endless: kết thúc ván hiện popup Failed</x:t>
  </x:si>
  <x:si>
    <x:t xml:space="preserve">Ván Endless đang chơi</x:t>
  </x:si>
  <x:si>
    <x:t xml:space="preserve">1. Chơi đến khi hết chỗ đặt
2. Quan sát</x:t>
  </x:si>
  <x:si>
    <x:t xml:space="preserve">Hiện popup Failed (Endless)</x:t>
  </x:si>
  <x:si>
    <x:t xml:space="preserve">TC-052</x:t>
  </x:si>
  <x:si>
    <x:t xml:space="preserve">Adventure thắng: PreWin, thưởng, sang level kế</x:t>
  </x:si>
  <x:si>
    <x:t xml:space="preserve">Xác minh: adventure thắng: PreWin, thưởng, sang level kế</x:t>
  </x:si>
  <x:si>
    <x:t xml:space="preserve">Level 1 chưa hoàn thành</x:t>
  </x:si>
  <x:si>
    <x:t xml:space="preserve">Level 1</x:t>
  </x:si>
  <x:si>
    <x:t xml:space="preserve">1. Hoàn thành mục tiêu Level 1
2. Quan sát PreWin, phần thưởng
3. Chọn level kế</x:t>
  </x:si>
  <x:si>
    <x:t xml:space="preserve">PreWin rồi thưởng rồi sang Level 2</x:t>
  </x:si>
  <x:si>
    <x:t xml:space="preserve">TC-053</x:t>
  </x:si>
  <x:si>
    <x:t xml:space="preserve">Adventure thua: popup Failed</x:t>
  </x:si>
  <x:si>
    <x:t xml:space="preserve">Xác minh: adventure thua: popup Failed</x:t>
  </x:si>
  <x:si>
    <x:t xml:space="preserve">Đang chơi một level</x:t>
  </x:si>
  <x:si>
    <x:t xml:space="preserve">1. Chơi đến khi hết chỗ đặt khi chưa đủ mục tiêu
2. Quan sát</x:t>
  </x:si>
  <x:si>
    <x:t xml:space="preserve">Hiện popup Failed (Adventure) với Retry/Back</x:t>
  </x:si>
  <x:si>
    <x:t xml:space="preserve">TC-054</x:t>
  </x:si>
  <x:si>
    <x:t xml:space="preserve">Thắng level cuối quay về Map</x:t>
  </x:si>
  <x:si>
    <x:t xml:space="preserve">Xác minh: thắng level cuối quay về Map</x:t>
  </x:si>
  <x:si>
    <x:t xml:space="preserve">Đã mở tới Level 20</x:t>
  </x:si>
  <x:si>
    <x:t xml:space="preserve">Level 20</x:t>
  </x:si>
  <x:si>
    <x:t xml:space="preserve">1. Hoàn thành Level 20
2. Quan sát</x:t>
  </x:si>
  <x:si>
    <x:t xml:space="preserve">Hết level thì về Map</x:t>
  </x:si>
  <x:si>
    <x:t xml:space="preserve">Chỉ thực hiện nếu tiến trình tới Level 20; nếu không ghi Not Run kèm lý do</x:t>
  </x:si>
  <x:si>
    <x:t xml:space="preserve">TC-055</x:t>
  </x:si>
  <x:si>
    <x:t xml:space="preserve">Kích thước lưới các chế độ</x:t>
  </x:si>
  <x:si>
    <x:t xml:space="preserve">Xác minh: kích thước lưới các chế độ</x:t>
  </x:si>
  <x:si>
    <x:t xml:space="preserve">Endless 8x8; Level 3 9x9; Level 2 có 8 ô khóa</x:t>
  </x:si>
  <x:si>
    <x:t xml:space="preserve">1. Vào Endless, đếm lưới
2. Vào Level 3, đếm lưới
3. Vào Level 2, đếm ô khóa</x:t>
  </x:si>
  <x:si>
    <x:t xml:space="preserve">Đúng kích thước và số ô khóa</x:t>
  </x:si>
  <x:si>
    <x:t xml:space="preserve">TC-056</x:t>
  </x:si>
  <x:si>
    <x:t xml:space="preserve">Khay 3 khối, không xoay, sinh khay mới khi hết</x:t>
  </x:si>
  <x:si>
    <x:t xml:space="preserve">Xác minh: khay 3 khối, không xoay, sinh khay mới khi hết</x:t>
  </x:si>
  <x:si>
    <x:t xml:space="preserve">Ván Endless mới</x:t>
  </x:si>
  <x:si>
    <x:t xml:space="preserve">1. Đếm khối trên khay
2. Thử xoay khối (chạm nhanh)
3. Đặt 3 khối theo thứ tự tùy ý
4. Quan sát khay</x:t>
  </x:si>
  <x:si>
    <x:t xml:space="preserve">Khay có 3 khối; không có xoay; sau khối thứ 3 xuất hiện 3 khối mới</x:t>
  </x:si>
  <x:si>
    <x:t xml:space="preserve">TC-057</x:t>
  </x:si>
  <x:si>
    <x:t xml:space="preserve">REQ-010</x:t>
  </x:si>
  <x:si>
    <x:t xml:space="preserve">Khối nổi trên ngón tay và highlight ô đích</x:t>
  </x:si>
  <x:si>
    <x:t xml:space="preserve">Xác minh: khối nổi trên ngón tay và highlight ô đích</x:t>
  </x:si>
  <x:si>
    <x:t xml:space="preserve">Ván đang chơi</x:t>
  </x:si>
  <x:si>
    <x:t xml:space="preserve">1. Chạm giữ một khối
2. Kéo vào bàn
3. Quan sát</x:t>
  </x:si>
  <x:si>
    <x:t xml:space="preserve">Khối nổi cao hơn ngón tay; ô đích được highlight</x:t>
  </x:si>
  <x:si>
    <x:t xml:space="preserve">Usability</x:t>
  </x:si>
  <x:si>
    <x:t xml:space="preserve">TC-058</x:t>
  </x:si>
  <x:si>
    <x:t xml:space="preserve">Đặt khối hợp lệ trên APK</x:t>
  </x:si>
  <x:si>
    <x:t xml:space="preserve">Xác minh: đặt khối hợp lệ trên APK</x:t>
  </x:si>
  <x:si>
    <x:t xml:space="preserve">1. Kéo một khối vào vùng trống
2. Thả
3. Quan sát bàn, khay, điểm</x:t>
  </x:si>
  <x:si>
    <x:t xml:space="preserve">Khối nằm đúng ô được highlight; khay giảm 1; điểm tăng</x:t>
  </x:si>
  <x:si>
    <x:t xml:space="preserve">TC-059</x:t>
  </x:si>
  <x:si>
    <x:t xml:space="preserve">Đặt khối sát mép và góc bàn trên màn cảm ứng</x:t>
  </x:si>
  <x:si>
    <x:t xml:space="preserve">Xác minh: đặt khối sát mép và góc bàn trên màn cảm ứng</x:t>
  </x:si>
  <x:si>
    <x:t xml:space="preserve">Màn 1600x720</x:t>
  </x:si>
  <x:si>
    <x:t xml:space="preserve">1. Đặt khối ở cột ngoài cùng trái và phải
2. Đặt ở hàng trên cùng và dưới cùng
3. Đặt ở bốn góc</x:t>
  </x:si>
  <x:si>
    <x:t xml:space="preserve">Đặt đúng ô; thao tác sát mép màn hình không bị chặn</x:t>
  </x:si>
  <x:si>
    <x:t xml:space="preserve">TC-060</x:t>
  </x:si>
  <x:si>
    <x:t xml:space="preserve">Thả sai chỗ: khối quay về khay</x:t>
  </x:si>
  <x:si>
    <x:t xml:space="preserve">Xác minh: thả sai chỗ: khối quay về khay</x:t>
  </x:si>
  <x:si>
    <x:t xml:space="preserve">Bàn có ô đã đặt</x:t>
  </x:si>
  <x:si>
    <x:t xml:space="preserve">1. Thả khối chồng lên ô đã có
2. Thả khối ngoài bàn
3. Quan sát bàn, khay, điểm</x:t>
  </x:si>
  <x:si>
    <x:t xml:space="preserve">Khối quay về khay; bàn và điểm không đổi</x:t>
  </x:si>
  <x:si>
    <x:t xml:space="preserve">TC-061</x:t>
  </x:si>
  <x:si>
    <x:t xml:space="preserve">Xóa một hàng và một cột</x:t>
  </x:si>
  <x:si>
    <x:t xml:space="preserve">Xác minh: xóa một hàng và một cột</x:t>
  </x:si>
  <x:si>
    <x:t xml:space="preserve">Ván Endless; sắp một hàng/cột gần đầy</x:t>
  </x:si>
  <x:si>
    <x:t xml:space="preserve">1. Đặt khối lấp ô cuối của một hàng
2. Lặp với một cột
3. Quan sát</x:t>
  </x:si>
  <x:si>
    <x:t xml:space="preserve">Dòng đầy nổ và biến mất; ô khác đứng yên (không rơi xuống)</x:t>
  </x:si>
  <x:si>
    <x:t xml:space="preserve">TC-062</x:t>
  </x:si>
  <x:si>
    <x:t xml:space="preserve">REQ-013, REQ-023</x:t>
  </x:si>
  <x:si>
    <x:t xml:space="preserve">Xóa nhiều dòng cùng một lượt</x:t>
  </x:si>
  <x:si>
    <x:t xml:space="preserve">Xác minh: xóa nhiều dòng cùng một lượt</x:t>
  </x:si>
  <x:si>
    <x:t xml:space="preserve">Hai dòng cùng thiếu phần có thể lấp bằng một khối</x:t>
  </x:si>
  <x:si>
    <x:t xml:space="preserve">1. Đặt khối lấp cả hai dòng
2. Ghi điểm trước và sau</x:t>
  </x:si>
  <x:si>
    <x:t xml:space="preserve">Cả hai dòng bị xóa; điểm theo hệ số nhiều dòng (Endless x1.5)</x:t>
  </x:si>
  <x:si>
    <x:t xml:space="preserve">TC-063</x:t>
  </x:si>
  <x:si>
    <x:t xml:space="preserve">REQ-016, REQ-025</x:t>
  </x:si>
  <x:si>
    <x:t xml:space="preserve">Full clear trong Endless</x:t>
  </x:si>
  <x:si>
    <x:t xml:space="preserve">Xác minh: full clear trong Endless</x:t>
  </x:si>
  <x:si>
    <x:t xml:space="preserve">Bàn gần trống, sắp xóa hết</x:t>
  </x:si>
  <x:si>
    <x:t xml:space="preserve">1. Đặt khối làm bàn trống hoàn toàn
2. Quan sát</x:t>
  </x:si>
  <x:si>
    <x:t xml:space="preserve">Hiện animation Rainbow; thưởng +100; ván tiếp tục</x:t>
  </x:si>
  <x:si>
    <x:t xml:space="preserve">TC-064</x:t>
  </x:si>
  <x:si>
    <x:t xml:space="preserve">Endless thua đúng lúc</x:t>
  </x:si>
  <x:si>
    <x:t xml:space="preserve">Xác minh: endless thua đúng lúc</x:t>
  </x:si>
  <x:si>
    <x:t xml:space="preserve">Bàn gần đầy</x:t>
  </x:si>
  <x:si>
    <x:t xml:space="preserve">1. Chơi đến khi không khối nào đặt được
2. Quan sát thời điểm Failed</x:t>
  </x:si>
  <x:si>
    <x:t xml:space="preserve">Failed xuất hiện khi không khối nào còn chỗ; không xuất hiện khi còn khối đặt được</x:t>
  </x:si>
  <x:si>
    <x:t xml:space="preserve">TC-065</x:t>
  </x:si>
  <x:si>
    <x:t xml:space="preserve">Endless: điểm đặt khối không xóa</x:t>
  </x:si>
  <x:si>
    <x:t xml:space="preserve">Xác minh: endless: điểm đặt khối không xóa</x:t>
  </x:si>
  <x:si>
    <x:t xml:space="preserve">Endless mới, Score 0</x:t>
  </x:si>
  <x:si>
    <x:t xml:space="preserve">Khối n ô</x:t>
  </x:si>
  <x:si>
    <x:t xml:space="preserve">1. Đặt một khối không tạo dòng đầy
2. Ghi điểm</x:t>
  </x:si>
  <x:si>
    <x:t xml:space="preserve">Điểm tăng đúng n x 10</x:t>
  </x:si>
  <x:si>
    <x:t xml:space="preserve">TC-066</x:t>
  </x:si>
  <x:si>
    <x:t xml:space="preserve">REQ-019, REQ-022, REQ-026</x:t>
  </x:si>
  <x:si>
    <x:t xml:space="preserve">Endless: chuỗi xóa liên tiếp</x:t>
  </x:si>
  <x:si>
    <x:t xml:space="preserve">Xác minh: endless: chuỗi xóa liên tiếp</x:t>
  </x:si>
  <x:si>
    <x:t xml:space="preserve">Có thể xóa dòng nhiều lượt liên tiếp</x:t>
  </x:si>
  <x:si>
    <x:t xml:space="preserve">Công thức: điểm đặt + round(điểm xóa x hệ số dòng x hệ số combo) + thưởng</x:t>
  </x:si>
  <x:si>
    <x:t xml:space="preserve">1. Ghi điểm trước mỗi lượt
2. Xóa dòng ở các lượt liên tiếp
3. Ghi điểm và Combo mỗi lượt</x:t>
  </x:si>
  <x:si>
    <x:t xml:space="preserve">Điểm mỗi lượt khớp công thức; hệ số combo 1, 1.1, 1.2, 1.3, 1.5; combo 5 có +100</x:t>
  </x:si>
  <x:si>
    <x:t xml:space="preserve">Ví dụ GDD (khối 1 ô xóa hàng 8 ô): 90, 98, 106, 114, 230, 130</x:t>
  </x:si>
  <x:si>
    <x:t xml:space="preserve">TC-067</x:t>
  </x:si>
  <x:si>
    <x:t xml:space="preserve">Combo &gt;= 1</x:t>
  </x:si>
  <x:si>
    <x:t xml:space="preserve">1. Đặt khối không xóa dòng
2. Quan sát Combo</x:t>
  </x:si>
  <x:si>
    <x:t xml:space="preserve">Combo về 0 ngay lượt đó</x:t>
  </x:si>
  <x:si>
    <x:t xml:space="preserve">TC-068</x:t>
  </x:si>
  <x:si>
    <x:t xml:space="preserve">REQ-018, REQ-020, REQ-021</x:t>
  </x:si>
  <x:si>
    <x:t xml:space="preserve">Adventure: hệ số bằng combo; reset sau 3 lượt không xóa</x:t>
  </x:si>
  <x:si>
    <x:t xml:space="preserve">Xác minh: adventure: hệ số bằng combo; reset sau 3 lượt không xóa</x:t>
  </x:si>
  <x:si>
    <x:t xml:space="preserve">Level Score chưa thắng ngay</x:t>
  </x:si>
  <x:si>
    <x:t xml:space="preserve">1. Xóa dòng ở hai lượt liên tiếp, ghi điểm
2. Đặt 3 lượt liên tiếp không xóa
3. Quan sát Combo</x:t>
  </x:si>
  <x:si>
    <x:t xml:space="preserve">Điểm xóa nhân với combo hiện tại (x1, x2); combo về 0 ở lượt thứ 3 không xóa</x:t>
  </x:si>
  <x:si>
    <x:t xml:space="preserve">Ví dụ GDD: khối 1 ô xóa hàng 8 ô ở combo 1 = 90</x:t>
  </x:si>
  <x:si>
    <x:t xml:space="preserve">TC-069</x:t>
  </x:si>
  <x:si>
    <x:t xml:space="preserve">REQ-027</x:t>
  </x:si>
  <x:si>
    <x:t xml:space="preserve">Score và Combo hiển thị khớp, dễ đọc</x:t>
  </x:si>
  <x:si>
    <x:t xml:space="preserve">Xác minh: score và Combo hiển thị khớp, dễ đọc</x:t>
  </x:si>
  <x:si>
    <x:t xml:space="preserve">Đang chơi</x:t>
  </x:si>
  <x:si>
    <x:t xml:space="preserve">1. Quan sát Score, Combo trong lúc chơi
2. So sánh với giá trị tính được</x:t>
  </x:si>
  <x:si>
    <x:t xml:space="preserve">Hiển thị khớp, không bị che hoặc cắt chữ</x:t>
  </x:si>
  <x:si>
    <x:t xml:space="preserve">TC-070</x:t>
  </x:si>
  <x:si>
    <x:t xml:space="preserve">REQ-028</x:t>
  </x:si>
  <x:si>
    <x:t xml:space="preserve">Phản hồi combo: rung, flash, âm thanh</x:t>
  </x:si>
  <x:si>
    <x:t xml:space="preserve">Xác minh: phản hồi combo: rung, flash, âm thanh</x:t>
  </x:si>
  <x:si>
    <x:t xml:space="preserve">Rung bật, âm thanh bật</x:t>
  </x:si>
  <x:si>
    <x:t xml:space="preserve">1. Tạo combo 3
2. Tạo combo 4
3. Tạo combo 5 trở lên</x:t>
  </x:si>
  <x:si>
    <x:t xml:space="preserve">Combo 3 rung nhẹ, từ 4 rung mạnh; có flash; âm combo tăng dần</x:t>
  </x:si>
  <x:si>
    <x:t xml:space="preserve">TC-071</x:t>
  </x:si>
  <x:si>
    <x:t xml:space="preserve">REQ-032</x:t>
  </x:si>
  <x:si>
    <x:t xml:space="preserve">Gem trong khay không vượt số còn thiếu</x:t>
  </x:si>
  <x:si>
    <x:t xml:space="preserve">Xác minh: gem trong khay không vượt số còn thiếu</x:t>
  </x:si>
  <x:si>
    <x:t xml:space="preserve">Level 1 (Gem3 x5)</x:t>
  </x:si>
  <x:si>
    <x:t xml:space="preserve">1. Chơi Level 1
2. Theo dõi gem trên bàn, trong khay và mục tiêu còn thiếu</x:t>
  </x:si>
  <x:si>
    <x:t xml:space="preserve">Tổng gem trên bàn và khay không vượt số còn thiếu</x:t>
  </x:si>
  <x:si>
    <x:t xml:space="preserve">TC-072</x:t>
  </x:si>
  <x:si>
    <x:t xml:space="preserve">REQ-033</x:t>
  </x:si>
  <x:si>
    <x:t xml:space="preserve">Endless bắt đầu với bàn 8x8 trống, không mục tiêu</x:t>
  </x:si>
  <x:si>
    <x:t xml:space="preserve">Xác minh: endless bắt đầu với bàn 8x8 trống, không mục tiêu</x:t>
  </x:si>
  <x:si>
    <x:t xml:space="preserve">Không có ván dở</x:t>
  </x:si>
  <x:si>
    <x:t xml:space="preserve">1. Vào Endless
2. Quan sát</x:t>
  </x:si>
  <x:si>
    <x:t xml:space="preserve">Bàn trống 8x8; không bảng mục tiêu</x:t>
  </x:si>
  <x:si>
    <x:t xml:space="preserve">TC-073</x:t>
  </x:si>
  <x:si>
    <x:t xml:space="preserve">REQ-034</x:t>
  </x:si>
  <x:si>
    <x:t xml:space="preserve">Best score Endless và popup kết quả</x:t>
  </x:si>
  <x:si>
    <x:t xml:space="preserve">Xác minh: best score Endless và popup kết quả</x:t>
  </x:si>
  <x:si>
    <x:t xml:space="preserve">Đã có một Best Score</x:t>
  </x:si>
  <x:si>
    <x:t xml:space="preserve">1. Chơi ván điểm cao hơn rồi thua
2. Xem popup
3. Chơi ván điểm thấp hơn rồi thua
4. Xem popup</x:t>
  </x:si>
  <x:si>
    <x:t xml:space="preserve">Ván cao hơn cập nhật Best; ván thấp hơn giữ nguyên; popup có điểm, best, combo cao nhất, tóm tắt xu</x:t>
  </x:si>
  <x:si>
    <x:t xml:space="preserve">TC-074</x:t>
  </x:si>
  <x:si>
    <x:t xml:space="preserve">REQ-035</x:t>
  </x:si>
  <x:si>
    <x:t xml:space="preserve">Duyệt 20 level: mục tiêu khớp GDD</x:t>
  </x:si>
  <x:si>
    <x:t xml:space="preserve">Xác minh: duyệt 20 level: mục tiêu khớp GDD</x:t>
  </x:si>
  <x:si>
    <x:t xml:space="preserve">Đã mở khóa các level cần duyệt (có thể dùng nhiều lượt)</x:t>
  </x:si>
  <x:si>
    <x:t xml:space="preserve">Bảng 20 level ở GDD §8.2</x:t>
  </x:si>
  <x:si>
    <x:t xml:space="preserve">1. Mở từng level đã mở khóa
2. Ghi loại, lưới, mục tiêu
3. So sánh với GDD</x:t>
  </x:si>
  <x:si>
    <x:t xml:space="preserve">Mục tiêu và lưới khớp bảng GDD</x:t>
  </x:si>
  <x:si>
    <x:t xml:space="preserve">Level chưa mở khóa ghi Not Run kèm lý do</x:t>
  </x:si>
  <x:si>
    <x:t xml:space="preserve">TC-075</x:t>
  </x:si>
  <x:si>
    <x:t xml:space="preserve">Hết nội dung sau Level 20</x:t>
  </x:si>
  <x:si>
    <x:t xml:space="preserve">Xác minh: hết nội dung sau Level 20</x:t>
  </x:si>
  <x:si>
    <x:t xml:space="preserve">Đã hoàn thành Level 20</x:t>
  </x:si>
  <x:si>
    <x:t xml:space="preserve">1. Hoàn thành Level 20
2. Quan sát Map</x:t>
  </x:si>
  <x:si>
    <x:t xml:space="preserve">Không có Level 21</x:t>
  </x:si>
  <x:si>
    <x:t xml:space="preserve">Chỉ thực hiện nếu tiến trình tới Level 20</x:t>
  </x:si>
  <x:si>
    <x:t xml:space="preserve">TC-076</x:t>
  </x:si>
  <x:si>
    <x:t xml:space="preserve">REQ-036</x:t>
  </x:si>
  <x:si>
    <x:t xml:space="preserve">Level Score: thắng khi đạt điểm</x:t>
  </x:si>
  <x:si>
    <x:t xml:space="preserve">Xác minh: level Score: thắng khi đạt điểm</x:t>
  </x:si>
  <x:si>
    <x:t xml:space="preserve">Level 2 mở</x:t>
  </x:si>
  <x:si>
    <x:t xml:space="preserve">Level 2: 100 điểm</x:t>
  </x:si>
  <x:si>
    <x:t xml:space="preserve">1. Chơi Level 2
2. Quan sát tiến độ điểm
3. Đạt 100 điểm</x:t>
  </x:si>
  <x:si>
    <x:t xml:space="preserve">Thanh mục tiêu tăng; đạt 100 điểm thì thắng</x:t>
  </x:si>
  <x:si>
    <x:t xml:space="preserve">TC-077</x:t>
  </x:si>
  <x:si>
    <x:t xml:space="preserve">REQ-037</x:t>
  </x:si>
  <x:si>
    <x:t xml:space="preserve">Level Bonus: thu gem</x:t>
  </x:si>
  <x:si>
    <x:t xml:space="preserve">Xác minh: level Bonus: thu gem</x:t>
  </x:si>
  <x:si>
    <x:t xml:space="preserve">Level 1 mở</x:t>
  </x:si>
  <x:si>
    <x:t xml:space="preserve">Level 1: Gem3 x5</x:t>
  </x:si>
  <x:si>
    <x:t xml:space="preserve">1. Chơi Level 1
2. Xóa dòng chứa gem
3. Quan sát</x:t>
  </x:si>
  <x:si>
    <x:t xml:space="preserve">Gem bay lên bảng mục tiêu; đủ 5 Gem3 thì thắng</x:t>
  </x:si>
  <x:si>
    <x:t xml:space="preserve">TC-078</x:t>
  </x:si>
  <x:si>
    <x:t xml:space="preserve">REQ-038</x:t>
  </x:si>
  <x:si>
    <x:t xml:space="preserve">Nhiều mục tiêu: chỉ thắng khi đủ tất cả</x:t>
  </x:si>
  <x:si>
    <x:t xml:space="preserve">Xác minh: nhiều mục tiêu: chỉ thắng khi đủ tất cả</x:t>
  </x:si>
  <x:si>
    <x:t xml:space="preserve">Level 3 mở</x:t>
  </x:si>
  <x:si>
    <x:t xml:space="preserve">Level 3: Gem2 x5 và Gem3 x5</x:t>
  </x:si>
  <x:si>
    <x:t xml:space="preserve">1. Thu đủ một loại gem trước
2. Quan sát
3. Thu đủ loại còn lại</x:t>
  </x:si>
  <x:si>
    <x:t xml:space="preserve">Chưa thắng khi mới đủ một loại; thắng khi đủ cả hai</x:t>
  </x:si>
  <x:si>
    <x:t xml:space="preserve">Decision Table</x:t>
  </x:si>
  <x:si>
    <x:t xml:space="preserve">TC-079</x:t>
  </x:si>
  <x:si>
    <x:t xml:space="preserve">REQ-039</x:t>
  </x:si>
  <x:si>
    <x:t xml:space="preserve">Adventure thua khi hết chỗ đặt</x:t>
  </x:si>
  <x:si>
    <x:t xml:space="preserve">Xác minh: adventure thua khi hết chỗ đặt</x:t>
  </x:si>
  <x:si>
    <x:t xml:space="preserve">Một level chưa đạt mục tiêu</x:t>
  </x:si>
  <x:si>
    <x:t xml:space="preserve">Thua (Failed)</x:t>
  </x:si>
  <x:si>
    <x:t xml:space="preserve">TC-080</x:t>
  </x:si>
  <x:si>
    <x:t xml:space="preserve">REQ-040</x:t>
  </x:si>
  <x:si>
    <x:t xml:space="preserve">Level 4: hẹn giờ 120 giây</x:t>
  </x:si>
  <x:si>
    <x:t xml:space="preserve">Xác minh: level 4: hẹn giờ 120 giây</x:t>
  </x:si>
  <x:si>
    <x:t xml:space="preserve">Level 4 mở</x:t>
  </x:si>
  <x:si>
    <x:t xml:space="preserve">120 giây</x:t>
  </x:si>
  <x:si>
    <x:t xml:space="preserve">1. Vào Level 4, quan sát đồng hồ
2. Mở Settings (Pause), quan sát đồng hồ
3. Tiếp tục, để hết giờ</x:t>
  </x:si>
  <x:si>
    <x:t xml:space="preserve">Đồng hồ đếm ngược từ 120; Pause dừng đếm; hết giờ thì thua</x:t>
  </x:si>
  <x:si>
    <x:t xml:space="preserve">Cần tiến trình tới Level 4; nếu chưa, ghi Not Run kèm lý do</x:t>
  </x:si>
  <x:si>
    <x:t xml:space="preserve">TC-081</x:t>
  </x:si>
  <x:si>
    <x:t xml:space="preserve">REQ-041</x:t>
  </x:si>
  <x:si>
    <x:t xml:space="preserve">Mở khóa level và tiến trình</x:t>
  </x:si>
  <x:si>
    <x:t xml:space="preserve">Xác minh: mở khóa level và tiến trình</x:t>
  </x:si>
  <x:si>
    <x:t xml:space="preserve">1. Thử vào Level 2 khi chưa mở
2. Thắng Level 1
3. Quan sát Map
4. Chơi lại Level 1</x:t>
  </x:si>
  <x:si>
    <x:t xml:space="preserve">Level 2 khóa rồi mở sau khi thắng Level 1; chơi lại level cũ không hạ tiến trình</x:t>
  </x:si>
  <x:si>
    <x:t xml:space="preserve">TC-082</x:t>
  </x:si>
  <x:si>
    <x:t xml:space="preserve">REQ-042</x:t>
  </x:si>
  <x:si>
    <x:t xml:space="preserve">Xu khởi đầu là 20</x:t>
  </x:si>
  <x:si>
    <x:t xml:space="preserve">Xác minh: xu khởi đầu là 20</x:t>
  </x:si>
  <x:si>
    <x:t xml:space="preserve">Xóa dữ liệu ứng dụng</x:t>
  </x:si>
  <x:si>
    <x:t xml:space="preserve">1. Mở game lần đầu
2. Xem số xu</x:t>
  </x:si>
  <x:si>
    <x:t xml:space="preserve">Xu = 20</x:t>
  </x:si>
  <x:si>
    <x:t xml:space="preserve">Daily Bonus lần đầu có thể cộng ngay; ghi số xu trước và sau popup</x:t>
  </x:si>
  <x:si>
    <x:t xml:space="preserve">TC-083</x:t>
  </x:si>
  <x:si>
    <x:t xml:space="preserve">REQ-043</x:t>
  </x:si>
  <x:si>
    <x:t xml:space="preserve">Thưởng xu cuối ván Endless</x:t>
  </x:si>
  <x:si>
    <x:t xml:space="preserve">Xác minh: thưởng xu cuối ván Endless</x:t>
  </x:si>
  <x:si>
    <x:t xml:space="preserve">Số xu đã ghi</x:t>
  </x:si>
  <x:si>
    <x:t xml:space="preserve">Điểm cuối &lt; 1000: floor(điểm/100) x 5</x:t>
  </x:si>
  <x:si>
    <x:t xml:space="preserve">1. Ghi xu
2. Chơi Endless đến thua, ghi điểm
3. Xem popup và xu sau</x:t>
  </x:si>
  <x:si>
    <x:t xml:space="preserve">Xu tăng đúng floor(điểm/100) x 5 (điểm dưới 1000)</x:t>
  </x:si>
  <x:si>
    <x:t xml:space="preserve">Mẫu GDD: 999 điểm = 45; 1000 = 70; 5000 = 350; 5100 = 510 (chỉ kiểm nếu đạt điểm)</x:t>
  </x:si>
  <x:si>
    <x:t xml:space="preserve">TC-084</x:t>
  </x:si>
  <x:si>
    <x:t xml:space="preserve">REQ-044</x:t>
  </x:si>
  <x:si>
    <x:t xml:space="preserve">Thưởng thắng level Adventure</x:t>
  </x:si>
  <x:si>
    <x:t xml:space="preserve">Xác minh: thưởng thắng level Adventure</x:t>
  </x:si>
  <x:si>
    <x:t xml:space="preserve">Level 1 chưa thắng</x:t>
  </x:si>
  <x:si>
    <x:t xml:space="preserve">Level 1: 10 xu; Level 5: 50 xu</x:t>
  </x:si>
  <x:si>
    <x:t xml:space="preserve">1. Ghi xu
2. Thắng Level 1
3. Ghi xu</x:t>
  </x:si>
  <x:si>
    <x:t xml:space="preserve">Xu tăng 10 (Level 5: 50)</x:t>
  </x:si>
  <x:si>
    <x:t xml:space="preserve">Level 5 cần tiến trình tới Level 5</x:t>
  </x:si>
  <x:si>
    <x:t xml:space="preserve">TC-085</x:t>
  </x:si>
  <x:si>
    <x:t xml:space="preserve">REQ-045</x:t>
  </x:si>
  <x:si>
    <x:t xml:space="preserve">Thưởng chỉ nhận một lần mỗi level</x:t>
  </x:si>
  <x:si>
    <x:t xml:space="preserve">Xác minh: thưởng chỉ nhận một lần mỗi level</x:t>
  </x:si>
  <x:si>
    <x:t xml:space="preserve">Đã thắng Level 1</x:t>
  </x:si>
  <x:si>
    <x:t xml:space="preserve">1. Ghi xu
2. Chơi lại và thắng Level 1
3. Ghi xu</x:t>
  </x:si>
  <x:si>
    <x:t xml:space="preserve">Không nhận thưởng lần hai</x:t>
  </x:si>
  <x:si>
    <x:t xml:space="preserve">TC-086</x:t>
  </x:si>
  <x:si>
    <x:t xml:space="preserve">REQ-046</x:t>
  </x:si>
  <x:si>
    <x:t xml:space="preserve">Thiếu xu: không mua, xu không âm</x:t>
  </x:si>
  <x:si>
    <x:t xml:space="preserve">Xác minh: thiếu xu: không mua, xu không âm</x:t>
  </x:si>
  <x:si>
    <x:t xml:space="preserve">Xu thấp hơn giá vật phẩm</x:t>
  </x:si>
  <x:si>
    <x:t xml:space="preserve">1. Chạm vật phẩm khi tồn kho 0 và xu thiếu
2. Quan sát</x:t>
  </x:si>
  <x:si>
    <x:t xml:space="preserve">Hiển thị NOT ENOUGH COINS; xu không đổi, không âm</x:t>
  </x:si>
  <x:si>
    <x:t xml:space="preserve">TC-087</x:t>
  </x:si>
  <x:si>
    <x:t xml:space="preserve">REQ-047</x:t>
  </x:si>
  <x:si>
    <x:t xml:space="preserve">Rainbow Cell: mua và dùng</x:t>
  </x:si>
  <x:si>
    <x:t xml:space="preserve">Xác minh: rainbow Cell: mua và dùng</x:t>
  </x:si>
  <x:si>
    <x:t xml:space="preserve">Endless; xu &gt;= 30</x:t>
  </x:si>
  <x:si>
    <x:t xml:space="preserve">30 xu</x:t>
  </x:si>
  <x:si>
    <x:t xml:space="preserve">1. Chạm Rainbow Cell (mua)
2. Chạm lần nữa (dùng)
3. Quan sát khay và xu</x:t>
  </x:si>
  <x:si>
    <x:t xml:space="preserve">Trừ 30 xu; thêm khối đơn 1 ô vào khay; tồn kho giảm 1 sau khi dùng</x:t>
  </x:si>
  <x:si>
    <x:t xml:space="preserve">TC-088</x:t>
  </x:si>
  <x:si>
    <x:t xml:space="preserve">REQ-048</x:t>
  </x:si>
  <x:si>
    <x:t xml:space="preserve">Bomb 3x3: mua và dùng</x:t>
  </x:si>
  <x:si>
    <x:t xml:space="preserve">Xác minh: bomb 3x3: mua và dùng</x:t>
  </x:si>
  <x:si>
    <x:t xml:space="preserve">Endless; xu &gt;= 50; bàn có khối</x:t>
  </x:si>
  <x:si>
    <x:t xml:space="preserve">50 xu</x:t>
  </x:si>
  <x:si>
    <x:t xml:space="preserve">1. Mua Bomb
2. Chọn Bomb, chạm ô trong vùng có khối
3. Chọn Bomb, chạm vùng không có khối</x:t>
  </x:si>
  <x:si>
    <x:t xml:space="preserve">Phá mọi ô có khối trong vùng 3x3; vùng trống không tiêu hao</x:t>
  </x:si>
  <x:si>
    <x:t xml:space="preserve">TC-089</x:t>
  </x:si>
  <x:si>
    <x:t xml:space="preserve">REQ-049</x:t>
  </x:si>
  <x:si>
    <x:t xml:space="preserve">Shuffle Tray: mua và dùng</x:t>
  </x:si>
  <x:si>
    <x:t xml:space="preserve">Xác minh: shuffle Tray: mua và dùng</x:t>
  </x:si>
  <x:si>
    <x:t xml:space="preserve">Endless; xu &gt;= 40</x:t>
  </x:si>
  <x:si>
    <x:t xml:space="preserve">40 xu</x:t>
  </x:si>
  <x:si>
    <x:t xml:space="preserve">1. Mua Shuffle
2. Dùng Shuffle
3. Quan sát khay</x:t>
  </x:si>
  <x:si>
    <x:t xml:space="preserve">Trừ 40 xu; khay hiện tại bị xóa và sinh khay mới</x:t>
  </x:si>
  <x:si>
    <x:t xml:space="preserve">TC-090</x:t>
  </x:si>
  <x:si>
    <x:t xml:space="preserve">REQ-050</x:t>
  </x:si>
  <x:si>
    <x:t xml:space="preserve">Quy trình mua và dùng vật phẩm</x:t>
  </x:si>
  <x:si>
    <x:t xml:space="preserve">Xác minh: quy trình mua và dùng vật phẩm</x:t>
  </x:si>
  <x:si>
    <x:t xml:space="preserve">Endless</x:t>
  </x:si>
  <x:si>
    <x:t xml:space="preserve">1. Với tồn kho 0, chạm vật phẩm
2. Chạm lần nữa
3. Với tồn kho &gt; 0, chạm vật phẩm</x:t>
  </x:si>
  <x:si>
    <x:t xml:space="preserve">Tồn kho 0: chạm đầu mua 1, chạm sau dùng; tồn kho &gt; 0: dùng ngay</x:t>
  </x:si>
  <x:si>
    <x:t xml:space="preserve">TC-091</x:t>
  </x:si>
  <x:si>
    <x:t xml:space="preserve">REQ-051</x:t>
  </x:si>
  <x:si>
    <x:t xml:space="preserve">Hạn chế sử dụng vật phẩm</x:t>
  </x:si>
  <x:si>
    <x:t xml:space="preserve">Xác minh: hạn chế sử dụng vật phẩm</x:t>
  </x:si>
  <x:si>
    <x:t xml:space="preserve">Có vật phẩm</x:t>
  </x:si>
  <x:si>
    <x:t xml:space="preserve">1. Vào Adventure, tìm vật phẩm
2. Trong Endless, thử dùng lúc đang animation xóa dòng
3. Trong hướng dẫn, thử dùng</x:t>
  </x:si>
  <x:si>
    <x:t xml:space="preserve">Không dùng được ở Adventure, lúc đang animation, trong hướng dẫn</x:t>
  </x:si>
  <x:si>
    <x:t xml:space="preserve">TC-092</x:t>
  </x:si>
  <x:si>
    <x:t xml:space="preserve">REQ-052</x:t>
  </x:si>
  <x:si>
    <x:t xml:space="preserve">Tồn kho vật phẩm giữ sau khi thoát</x:t>
  </x:si>
  <x:si>
    <x:t xml:space="preserve">Xác minh: tồn kho vật phẩm giữ sau khi thoát</x:t>
  </x:si>
  <x:si>
    <x:t xml:space="preserve">Có tồn kho</x:t>
  </x:si>
  <x:si>
    <x:t xml:space="preserve">1. Ghi tồn kho
2. Thoát hẳn game, mở lại
3. Vào Endless</x:t>
  </x:si>
  <x:si>
    <x:t xml:space="preserve">Tồn kho giữ nguyên</x:t>
  </x:si>
  <x:si>
    <x:t xml:space="preserve">Reliability</x:t>
  </x:si>
  <x:si>
    <x:t xml:space="preserve">TC-093</x:t>
  </x:si>
  <x:si>
    <x:t xml:space="preserve">REQ-053</x:t>
  </x:si>
  <x:si>
    <x:t xml:space="preserve">Daily Bonus 6 ngày</x:t>
  </x:si>
  <x:si>
    <x:t xml:space="preserve">Xác minh: daily Bonus 6 ngày</x:t>
  </x:si>
  <x:si>
    <x:t xml:space="preserve">Đổi được ngày thiết bị</x:t>
  </x:si>
  <x:si>
    <x:t xml:space="preserve">Ngày 1..7: 2, 10, 20, 30, 40, 80, rồi 2</x:t>
  </x:si>
  <x:si>
    <x:t xml:space="preserve">1. Nhận ngày 1
2. Đổi ngày +1, mở game, nhận
3. Lặp đến ngày 7
4. Ghi xu từng ngày</x:t>
  </x:si>
  <x:si>
    <x:t xml:space="preserve">Thưởng 2, 10, 20, 30, 40, 80; ngày 7 quay lại 2</x:t>
  </x:si>
  <x:si>
    <x:t xml:space="preserve">Cần đổi ngày hệ thống; khôi phục ngày thật sau khi thử</x:t>
  </x:si>
  <x:si>
    <x:t xml:space="preserve">TC-094</x:t>
  </x:si>
  <x:si>
    <x:t xml:space="preserve">REQ-054</x:t>
  </x:si>
  <x:si>
    <x:t xml:space="preserve">Daily Bonus: một lần mỗi ngày; không mất chuỗi khi bỏ lỡ</x:t>
  </x:si>
  <x:si>
    <x:t xml:space="preserve">Xác minh: daily Bonus: một lần mỗi ngày; không mất chuỗi khi bỏ lỡ</x:t>
  </x:si>
  <x:si>
    <x:t xml:space="preserve">Đã nhận hôm nay</x:t>
  </x:si>
  <x:si>
    <x:t xml:space="preserve">1. Thoát/mở lại trong cùng ngày
2. Đổi ngày +3, mở game, nhận</x:t>
  </x:si>
  <x:si>
    <x:t xml:space="preserve">Không nhận lần hai trong ngày; sau khi bỏ lỡ chuỗi tăng một bậc</x:t>
  </x:si>
  <x:si>
    <x:t xml:space="preserve">TC-095</x:t>
  </x:si>
  <x:si>
    <x:t xml:space="preserve">REQ-055</x:t>
  </x:si>
  <x:si>
    <x:t xml:space="preserve">Lucky Spin: lượt đầu miễn phí</x:t>
  </x:si>
  <x:si>
    <x:t xml:space="preserve">Xác minh: lucky Spin: lượt đầu miễn phí</x:t>
  </x:si>
  <x:si>
    <x:t xml:space="preserve">Chưa quay hôm nay</x:t>
  </x:si>
  <x:si>
    <x:t xml:space="preserve">1. Mở Lucky Spin
2. Quay lượt đầu
3. Mở lại, quan sát</x:t>
  </x:si>
  <x:si>
    <x:t xml:space="preserve">Lượt đầu miễn phí (không trừ xu); sau đó cần xu</x:t>
  </x:si>
  <x:si>
    <x:t xml:space="preserve">TC-096</x:t>
  </x:si>
  <x:si>
    <x:t xml:space="preserve">REQ-056</x:t>
  </x:si>
  <x:si>
    <x:t xml:space="preserve">Lucky Spin: phần thưởng thuộc 6 ô</x:t>
  </x:si>
  <x:si>
    <x:t xml:space="preserve">Xác minh: lucky Spin: phần thưởng thuộc 6 ô</x:t>
  </x:si>
  <x:si>
    <x:t xml:space="preserve">Xu đủ để quay nhiều lần</x:t>
  </x:si>
  <x:si>
    <x:t xml:space="preserve">Giá trị ô: 1, 20, 2, 3, 10, 6</x:t>
  </x:si>
  <x:si>
    <x:t xml:space="preserve">1. Quay nhiều lần (ghi xu trước/sau, trừ phí)
2. Ghi phần thưởng</x:t>
  </x:si>
  <x:si>
    <x:t xml:space="preserve">Mỗi lần thưởng thuộc {1, 20, 2, 3, 10, 6} và cộng đúng vào số dư</x:t>
  </x:si>
  <x:si>
    <x:t xml:space="preserve">Xác suất từng ô chưa có thông tin; chỉ ghi nhận phân bố quan sát</x:t>
  </x:si>
  <x:si>
    <x:t xml:space="preserve">TC-097</x:t>
  </x:si>
  <x:si>
    <x:t xml:space="preserve">REQ-057</x:t>
  </x:si>
  <x:si>
    <x:t xml:space="preserve">Mua lượt quay 10 xu; không giới hạn lượt mua</x:t>
  </x:si>
  <x:si>
    <x:t xml:space="preserve">Xác minh: mua lượt quay 10 xu; không giới hạn lượt mua</x:t>
  </x:si>
  <x:si>
    <x:t xml:space="preserve">Đã dùng lượt miễn phí hôm nay</x:t>
  </x:si>
  <x:si>
    <x:t xml:space="preserve">Xu = 9 và xu &gt;= 10</x:t>
  </x:si>
  <x:si>
    <x:t xml:space="preserve">1. Với 9 xu thử mua
2. Với đủ xu mua nhiều lần liên tiếp
3. Ghi xu</x:t>
  </x:si>
  <x:si>
    <x:t xml:space="preserve">9 xu không mua được; mỗi lần mua trừ 10 xu; không giới hạn số lần mua</x:t>
  </x:si>
  <x:si>
    <x:t xml:space="preserve">TC-098</x:t>
  </x:si>
  <x:si>
    <x:t xml:space="preserve">REQ-058</x:t>
  </x:si>
  <x:si>
    <x:t xml:space="preserve">Tự lưu ván khi thoát giữa chừng</x:t>
  </x:si>
  <x:si>
    <x:t xml:space="preserve">Xác minh: tự lưu ván khi thoát giữa chừng</x:t>
  </x:si>
  <x:si>
    <x:t xml:space="preserve">Đang chơi ván có điểm</x:t>
  </x:si>
  <x:si>
    <x:t xml:space="preserve">1. Chơi vài lượt
2. Về Main Menu (hoặc thoát app)
3. Vào lại cùng chế độ</x:t>
  </x:si>
  <x:si>
    <x:t xml:space="preserve">Xuất hiện hộp thoại Continue/New Game</x:t>
  </x:si>
  <x:si>
    <x:t xml:space="preserve">TC-099</x:t>
  </x:si>
  <x:si>
    <x:t xml:space="preserve">REQ-070</x:t>
  </x:si>
  <x:si>
    <x:t xml:space="preserve">Continue khôi phục ván Endless</x:t>
  </x:si>
  <x:si>
    <x:t xml:space="preserve">Xác minh: continue khôi phục ván Endless</x:t>
  </x:si>
  <x:si>
    <x:t xml:space="preserve">Có ván Endless dở</x:t>
  </x:si>
  <x:si>
    <x:t xml:space="preserve">Ghi lại bàn, khay, điểm, combo</x:t>
  </x:si>
  <x:si>
    <x:t xml:space="preserve">1. Vào Endless
2. Chọn Continue
3. So sánh với trạng thái đã ghi</x:t>
  </x:si>
  <x:si>
    <x:t xml:space="preserve">Bàn, khay, điểm, combo khôi phục đúng</x:t>
  </x:si>
  <x:si>
    <x:t xml:space="preserve">TC-100</x:t>
  </x:si>
  <x:si>
    <x:t xml:space="preserve">New Game bỏ ván cũ</x:t>
  </x:si>
  <x:si>
    <x:t xml:space="preserve">Xác minh: new Game bỏ ván cũ</x:t>
  </x:si>
  <x:si>
    <x:t xml:space="preserve">Có ván dở</x:t>
  </x:si>
  <x:si>
    <x:t xml:space="preserve">1. Vào chế độ
2. Chọn New Game
3. Quan sát
4. Thoát và vào lại</x:t>
  </x:si>
  <x:si>
    <x:t xml:space="preserve">Ván mới sạch; không còn hỏi Continue cho ván cũ</x:t>
  </x:si>
  <x:si>
    <x:t xml:space="preserve">TC-101</x:t>
  </x:si>
  <x:si>
    <x:t xml:space="preserve">Continue khôi phục ván Adventure</x:t>
  </x:si>
  <x:si>
    <x:t xml:space="preserve">Xác minh: continue khôi phục ván Adventure</x:t>
  </x:si>
  <x:si>
    <x:t xml:space="preserve">Có ván Adventure dở</x:t>
  </x:si>
  <x:si>
    <x:t xml:space="preserve">1. Vào Arcade
2. Chọn Continue
3. So sánh level, mục tiêu, số lượt, thời gian</x:t>
  </x:si>
  <x:si>
    <x:t xml:space="preserve">Khôi phục đúng level, mục tiêu còn lại, thời gian (nếu có)</x:t>
  </x:si>
  <x:si>
    <x:t xml:space="preserve">TC-102</x:t>
  </x:si>
  <x:si>
    <x:t xml:space="preserve">REQ-060</x:t>
  </x:si>
  <x:si>
    <x:t xml:space="preserve">Đưa game xuống nền 30 giây rồi mở lại</x:t>
  </x:si>
  <x:si>
    <x:t xml:space="preserve">Xác minh: đưa game xuống nền 30 giây rồi mở lại</x:t>
  </x:si>
  <x:si>
    <x:t xml:space="preserve">Đang chơi ván; ghi xu, Best Score, Level</x:t>
  </x:si>
  <x:si>
    <x:t xml:space="preserve">30 giây</x:t>
  </x:si>
  <x:si>
    <x:t xml:space="preserve">1. Nhấn Home
2. Chờ 30 giây
3. Mở lại game</x:t>
  </x:si>
  <x:si>
    <x:t xml:space="preserve">Không crash; xu, Best Score, Level không đổi; ghi nhận trạng thái ván</x:t>
  </x:si>
  <x:si>
    <x:t xml:space="preserve">TC-103</x:t>
  </x:si>
  <x:si>
    <x:t xml:space="preserve">Khóa màn hình 1 phút rồi mở lại</x:t>
  </x:si>
  <x:si>
    <x:t xml:space="preserve">Xác minh: khóa màn hình 1 phút rồi mở lại</x:t>
  </x:si>
  <x:si>
    <x:t xml:space="preserve">Đang chơi ván</x:t>
  </x:si>
  <x:si>
    <x:t xml:space="preserve">1 phút</x:t>
  </x:si>
  <x:si>
    <x:t xml:space="preserve">1. Khóa màn hình
2. Chờ 1 phút
3. Mở khóa</x:t>
  </x:si>
  <x:si>
    <x:t xml:space="preserve">Không crash; dữ liệu không đổi</x:t>
  </x:si>
  <x:si>
    <x:t xml:space="preserve">TC-104</x:t>
  </x:si>
  <x:si>
    <x:t xml:space="preserve">REQ-061</x:t>
  </x:si>
  <x:si>
    <x:t xml:space="preserve">Dữ liệu giữ sau khi khởi động lại</x:t>
  </x:si>
  <x:si>
    <x:t xml:space="preserve">Xác minh: dữ liệu giữ sau khi khởi động lại</x:t>
  </x:si>
  <x:si>
    <x:t xml:space="preserve">Đã đổi thiết lập, có xu, có Best Score, đã mở level</x:t>
  </x:si>
  <x:si>
    <x:t xml:space="preserve">1. Ghi Level, xu, Best, Music, Sound, Vibration
2. Tắt hẳn app, mở lại
3. So sánh</x:t>
  </x:si>
  <x:si>
    <x:t xml:space="preserve">Mọi giá trị giữ nguyên</x:t>
  </x:si>
  <x:si>
    <x:t xml:space="preserve">TC-105</x:t>
  </x:si>
  <x:si>
    <x:t xml:space="preserve">REQ-062</x:t>
  </x:si>
  <x:si>
    <x:t xml:space="preserve">Hướng dẫn lần đầu</x:t>
  </x:si>
  <x:si>
    <x:t xml:space="preserve">Xác minh: hướng dẫn lần đầu</x:t>
  </x:si>
  <x:si>
    <x:t xml:space="preserve">1. Mở game lần đầu
2. Làm theo hướng dẫn</x:t>
  </x:si>
  <x:si>
    <x:t xml:space="preserve">Có 2 level 5x5; chỉ dẫn và highlight; không thưởng; vật phẩm bị khóa</x:t>
  </x:si>
  <x:si>
    <x:t xml:space="preserve">TC-106</x:t>
  </x:si>
  <x:si>
    <x:t xml:space="preserve">REQ-063</x:t>
  </x:si>
  <x:si>
    <x:t xml:space="preserve">Settings: Music, Sound, rung</x:t>
  </x:si>
  <x:si>
    <x:t xml:space="preserve">Xác minh: settings: Music, Sound, rung</x:t>
  </x:si>
  <x:si>
    <x:t xml:space="preserve">Mở Settings</x:t>
  </x:si>
  <x:si>
    <x:t xml:space="preserve">1. Tắt Music
2. Tắt Sound
3. Kéo thanh rung về 0 rồi lên 1
4. Quan sát khi chơi</x:t>
  </x:si>
  <x:si>
    <x:t xml:space="preserve">Tắt Music/Sound thì không phát; rung theo cường độ</x:t>
  </x:si>
  <x:si>
    <x:t xml:space="preserve">TC-107</x:t>
  </x:si>
  <x:si>
    <x:t xml:space="preserve">REQ-064</x:t>
  </x:si>
  <x:si>
    <x:t xml:space="preserve">Hiệu ứng và âm thanh trong chơi</x:t>
  </x:si>
  <x:si>
    <x:t xml:space="preserve">Xác minh: hiệu ứng và âm thanh trong chơi</x:t>
  </x:si>
  <x:si>
    <x:t xml:space="preserve">Âm thanh bật</x:t>
  </x:si>
  <x:si>
    <x:t xml:space="preserve">1. Đặt khối
2. Xóa dòng
3. Thu/chi xu</x:t>
  </x:si>
  <x:si>
    <x:t xml:space="preserve">Có hiệu ứng nổ, text điểm/combo bay, âm đặt/phá khối, âm xu</x:t>
  </x:si>
  <x:si>
    <x:t xml:space="preserve">TC-108</x:t>
  </x:si>
  <x:si>
    <x:t xml:space="preserve">REQ-065</x:t>
  </x:si>
  <x:si>
    <x:t xml:space="preserve">Giao diện dọc, safe area, xoay màn hình</x:t>
  </x:si>
  <x:si>
    <x:t xml:space="preserve">Xác minh: giao diện dọc, safe area, xoay màn hình</x:t>
  </x:si>
  <x:si>
    <x:t xml:space="preserve">Đang ở Main Menu và trong ván</x:t>
  </x:si>
  <x:si>
    <x:t xml:space="preserve">Honor X7a 1600x720</x:t>
  </x:si>
  <x:si>
    <x:t xml:space="preserve">1. Quan sát bố cục dọc
2. Xoay ngang (nếu tự xoay)
3. Quan sát</x:t>
  </x:si>
  <x:si>
    <x:t xml:space="preserve">Không mất/che nút; layout đổi theo tỉ lệ</x:t>
  </x:si>
  <x:si>
    <x:t xml:space="preserve">Compatibility</x:t>
  </x:si>
  <x:si>
    <x:t xml:space="preserve">TC-109</x:t>
  </x:si>
  <x:si>
    <x:t xml:space="preserve">REQ-066</x:t>
  </x:si>
  <x:si>
    <x:t xml:space="preserve">Người chơi mới tự hiểu cách chơi</x:t>
  </x:si>
  <x:si>
    <x:t xml:space="preserve">Xác minh: người chơi mới tự hiểu cách chơi</x:t>
  </x:si>
  <x:si>
    <x:t xml:space="preserve">Người chưa chơi game này</x:t>
  </x:si>
  <x:si>
    <x:t xml:space="preserve">1. Cho người chơi mới chơi 10 phút không hướng dẫn
2. Quan sát và hỏi cảm nhận</x:t>
  </x:si>
  <x:si>
    <x:t xml:space="preserve">Hiểu cách đặt khối và mục tiêu; ghi nhận các điểm khó hiểu</x:t>
  </x:si>
  <x:si>
    <x:t xml:space="preserve">Ghi nhận nhận xét; vấn đề trải nghiệm ghi như lỗi mức Low/Medium</x:t>
  </x:si>
  <x:si>
    <x:t xml:space="preserve">TC-110</x:t>
  </x:si>
  <x:si>
    <x:t xml:space="preserve">Phiếu đánh giá thân thiện và hứng thú</x:t>
  </x:si>
  <x:si>
    <x:t xml:space="preserve">Xác minh: phiếu đánh giá thân thiện và hứng thú</x:t>
  </x:si>
  <x:si>
    <x:t xml:space="preserve">Người chơi đã chơi ít nhất 15 phút</x:t>
  </x:si>
  <x:si>
    <x:t xml:space="preserve">Thang 1-5</x:t>
  </x:si>
  <x:si>
    <x:t xml:space="preserve">1. Người chơi chấm: dễ hiểu, thao tác thuận tay, phản hồi rõ, độ khó hợp lý, muốn chơi tiếp
2. Ghi nhận xét</x:t>
  </x:si>
  <x:si>
    <x:t xml:space="preserve">Ghi lại điểm và nhận xét từng tiêu chí</x:t>
  </x:si>
  <x:si>
    <x:t xml:space="preserve">Không đặt ngưỡng đạt/không đạt khi chưa được nhóm thống nhất</x:t>
  </x:si>
  <x:si>
    <x:t xml:space="preserve">TC-111</x:t>
  </x:si>
  <x:si>
    <x:t xml:space="preserve">REQ-067</x:t>
  </x:si>
  <x:si>
    <x:t xml:space="preserve">Chơi liên tục 30 phút</x:t>
  </x:si>
  <x:si>
    <x:t xml:space="preserve">Xác minh: chơi liên tục 30 phút</x:t>
  </x:si>
  <x:si>
    <x:t xml:space="preserve">Pin đủ</x:t>
  </x:si>
  <x:si>
    <x:t xml:space="preserve">30 phút</x:t>
  </x:si>
  <x:si>
    <x:t xml:space="preserve">1. Chơi liên tục nhiều ván
2. Quan sát độ giật, treo, nóng máy</x:t>
  </x:si>
  <x:si>
    <x:t xml:space="preserve">Không crash/treo; không chậm rõ rệt</x:t>
  </x:si>
  <x:si>
    <x:t xml:space="preserve">Performance</x:t>
  </x:si>
  <x:si>
    <x:t xml:space="preserve">TC-112</x:t>
  </x:si>
  <x:si>
    <x:t xml:space="preserve">REQ-068</x:t>
  </x:si>
  <x:si>
    <x:t xml:space="preserve">Không có yếu tố debug trên bản APK</x:t>
  </x:si>
  <x:si>
    <x:t xml:space="preserve">Xác minh: không có yếu tố debug trên bản APK</x:t>
  </x:si>
  <x:si>
    <x:t xml:space="preserve">APK cài trên điện thoại</x:t>
  </x:si>
  <x:si>
    <x:t xml:space="preserve">1. Duyệt các màn hình
2. Tìm nút/hiển thị debug</x:t>
  </x:si>
  <x:si>
    <x:t xml:space="preserve">Không có yếu tố debug lộ ra</x:t>
  </x:si>
  <x:si>
    <x:t xml:space="preserve">Phím tắt W/L/D/Esc cần bàn phím ngoài; chỉ kiểm nếu có</x:t>
  </x:si>
  <x:si>
    <x:t xml:space="preserve">Execution Date</x:t>
  </x:si>
  <x:si>
    <x:t xml:space="preserve">Tester</x:t>
  </x:si>
  <x:si>
    <x:t xml:space="preserve">Actual Result</x:t>
  </x:si>
  <x:si>
    <x:t xml:space="preserve">Status</x:t>
  </x:si>
  <x:si>
    <x:t xml:space="preserve">Evidence</x:t>
  </x:si>
  <x:si>
    <x:t xml:space="preserve">Defect ID</x:t>
  </x:si>
  <x:si>
    <x:t xml:space="preserve">Notes</x:t>
  </x:si>
  <x:si>
    <x:t xml:space="preserve">Chỉ tiêu</x:t>
  </x:si>
  <x:si>
    <x:t xml:space="preserve">Giá trị</x:t>
  </x:si>
  <x:si>
    <x:t xml:space="preserve">Tổng số Test Case</x:t>
  </x:si>
  <x:si>
    <x:t xml:space="preserve">Test Case Manual</x:t>
  </x:si>
  <x:si>
    <x:t xml:space="preserve">Test Case Unity Test Framework</x:t>
  </x:si>
  <x:si>
    <x:t xml:space="preserve">Pass</x:t>
  </x:si>
  <x:si>
    <x:t xml:space="preserve">Blocked</x:t>
  </x:si>
  <x:si>
    <x:t xml:space="preserve">Not Applicable</x:t>
  </x:si>
  <x:si>
    <x:t xml:space="preserve">Đã chạy có kết quả (Pass + Fail)</x:t>
  </x:si>
  <x:si>
    <x:t xml:space="preserve">Tỷ lệ Pass = Pass / (Pass + Fail)</x:t>
  </x:si>
  <x:si>
    <x:t xml:space="preserve">Not Run, Blocked, Not Applicable không được tính vào Pass hoặc Fail.</x:t>
  </x:si>
  <x:si>
    <x:t xml:space="preserve">Lớp.Phương thức Unity Test</x:t>
  </x:si>
  <x:si>
    <x:t xml:space="preserve">PlacementServiceTests.CanPlace_EmptyBoardInsideBounds_ReturnsTrue</x:t>
  </x:si>
  <x:si>
    <x:t xml:space="preserve">PlacementServiceTests.Place_Valid_OccupiesAllShapeCells</x:t>
  </x:si>
  <x:si>
    <x:t xml:space="preserve">PlacementServiceTests.GetPlacementCells_NormalizesShapeOffsets</x:t>
  </x:si>
  <x:si>
    <x:t xml:space="preserve">PlacementServiceTests.Place_AtBoardCorners_Succeeds (4 tham số)</x:t>
  </x:si>
  <x:si>
    <x:t xml:space="preserve">PlacementServiceTests.CanPlace_OverlapsOccupiedCell_ReturnsFalse</x:t>
  </x:si>
  <x:si>
    <x:t xml:space="preserve">PlacementServiceTests.CanPlace_HorizontalDomino_BoundaryPositions (5 tham số)</x:t>
  </x:si>
  <x:si>
    <x:t xml:space="preserve">PlacementServiceTests.CanPlace_VerticalDominoPartlyBelowBoard_ReturnsFalse</x:t>
  </x:si>
  <x:si>
    <x:t xml:space="preserve">PlacementServiceTests.CanPlace_OnDisabledCell_ReturnsFalse</x:t>
  </x:si>
  <x:si>
    <x:t xml:space="preserve">PlacementServiceTests.Place_Invalid_LeavesBoardUnchanged</x:t>
  </x:si>
  <x:si>
    <x:t xml:space="preserve">PlacementServiceTests.HasAnyValidPlacement_FullBoard_ReturnsFalse</x:t>
  </x:si>
  <x:si>
    <x:t xml:space="preserve">PlacementServiceTests.HasAnyValidPlacement_OneHole_SingleTrueDominoFalse</x:t>
  </x:si>
  <x:si>
    <x:t xml:space="preserve">PlacementServiceTests.GetValidPlacements_EmptyBoard_Single_Returns64</x:t>
  </x:si>
  <x:si>
    <x:t xml:space="preserve">BoardResolverTests.Board_DefaultData_Is8x8With64PlayableCells</x:t>
  </x:si>
  <x:si>
    <x:t xml:space="preserve">BoardResolverTests.Resolve_FullRow_ClearsRowAndKeepsOtherCells</x:t>
  </x:si>
  <x:si>
    <x:t xml:space="preserve">BoardResolverTests.Resolve_FullColumn_ClearsColumn</x:t>
  </x:si>
  <x:si>
    <x:t xml:space="preserve">BoardResolverTests.Resolve_RowMissingOneCell_IsNotCleared</x:t>
  </x:si>
  <x:si>
    <x:t xml:space="preserve">BoardResolverTests.Resolve_TwoFullRows_ClearsBothInOneTurn</x:t>
  </x:si>
  <x:si>
    <x:t xml:space="preserve">BoardResolverTests.Resolve_RowAndColumnIntersect_Counts15UniqueCells</x:t>
  </x:si>
  <x:si>
    <x:t xml:space="preserve">BoardResolverTests.Resolve_DisabledCellInRow_IgnoredWhenNotRequireCompleteLines</x:t>
  </x:si>
  <x:si>
    <x:t xml:space="preserve">BoardResolverTests.Resolve_DisabledCellInRow_BlocksClearWhenRequireCompleteLines</x:t>
  </x:si>
  <x:si>
    <x:t xml:space="preserve">BoardResolverTests.Resolve_BoardEmptyAfterClear_IsFullClear</x:t>
  </x:si>
  <x:si>
    <x:t xml:space="preserve">BoardResolverTests.Resolve_EmptyBoard_ClearsNothing</x:t>
  </x:si>
  <x:si>
    <x:t xml:space="preserve">ScoreSystemTests.Placement_NoClear_Endless_Gain40_For4CellBlock</x:t>
  </x:si>
  <x:si>
    <x:t xml:space="preserve">ScoreSystemTests.Placement_NoClear_Adventure_Gain40_For4CellBlock</x:t>
  </x:si>
  <x:si>
    <x:t xml:space="preserve">ScoreSystemTests.Apply_InvalidPlacement_AddsNoScore</x:t>
  </x:si>
  <x:si>
    <x:t xml:space="preserve">ScoreSystemTests.Adventure_Combo1_ClearOneRow_Gain90</x:t>
  </x:si>
  <x:si>
    <x:t xml:space="preserve">ScoreSystemTests.Adventure_Combo2_RowAndColumnIntersect_Gain310</x:t>
  </x:si>
  <x:si>
    <x:t xml:space="preserve">ScoreSystemTests.Adventure_ComboResetsAfterThreeConsecutiveMisses</x:t>
  </x:si>
  <x:si>
    <x:t xml:space="preserve">ScoreSystemTests.Adventure_FullClear_DoesNotGiveRainbowBonus</x:t>
  </x:si>
  <x:si>
    <x:t xml:space="preserve">ScoreSystemTests.ClassicRule_TwoLines_UsesAdditionalLineMultiplier</x:t>
  </x:si>
  <x:si>
    <x:t xml:space="preserve">ScoreSystemTests.Endless_ConsecutiveRowClears_GainSequence_90_98_106_114_230_130</x:t>
  </x:si>
  <x:si>
    <x:t xml:space="preserve">ScoreSystemTests.Endless_TwoLinesOneTurn_Uses1p5LineMultiplier_Gain260</x:t>
  </x:si>
  <x:si>
    <x:t xml:space="preserve">ScoreSystemTests.Endless_RowAndColumnIntersect_Gain235</x:t>
  </x:si>
  <x:si>
    <x:t xml:space="preserve">ScoreSystemTests.Endless_ComboResetsAfterOneMiss</x:t>
  </x:si>
  <x:si>
    <x:t xml:space="preserve">ScoreSystemTests.Endless_FullClearAtCombo1_GivesRainbowBonus_Gain190</x:t>
  </x:si>
  <x:si>
    <x:t xml:space="preserve">ScoreSystemTests.Endless_Combo5AndFullClearSameTurn_BonusAwardedOnce_Gain230</x:t>
  </x:si>
  <x:si>
    <x:t xml:space="preserve">ScoreSystemTests.ScoreSystem_MatchesLegacyLevelManagerFormula (16 tham số)</x:t>
  </x:si>
  <x:si>
    <x:t xml:space="preserve">SpawnAndQueueTests.CreateBatch_ExcludesZeroWeightAndShapesAboveLevel; SpawnAndQueueTests.CreateBatch_IncludesShapeOnceLevelRequirementMet</x:t>
  </x:si>
  <x:si>
    <x:t xml:space="preserve">SpawnAndQueueTests.CreateBatch_AtLeastTwoPlayableShapes_WhenBoardAlmostFull</x:t>
  </x:si>
  <x:si>
    <x:t xml:space="preserve">SpawnAndQueueTests.CreateBatch_PreferDistinctShapes_ThreeDifferentShapesWhenAvailable</x:t>
  </x:si>
  <x:si>
    <x:t xml:space="preserve">SpawnAndQueueTests.CreateBatch_ReturnsBatchSizeShapes</x:t>
  </x:si>
  <x:si>
    <x:t xml:space="preserve">SpawnAndQueueTests.BlockQueue_SetBatchOfThree_ConsumeUntilEmpty; SpawnAndQueueTests.BlockQueue_ConsumeShapeNotInQueue_ReturnsFalse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</x:si>
</x:sst>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6">
    <x:font>
      <x:sz val="11"/>
      <x:color theme="1"/>
      <x:name val="Calibri"/>
      <x:scheme val="minor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i/>
      <x:sz val="9"/>
      <x:color theme="1"/>
      <x:name val="Arial"/>
    </x:font>
    <x:font>
      <x:color theme="1"/>
      <x:name val="Calibri"/>
      <x:scheme val="minor"/>
    </x:font>
  </x:fonts>
  <x:fills count="6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FF9900"/>
      </x:patternFill>
    </x:fill>
    <x:fill>
      <x:patternFill patternType="solid">
        <x:fgColor rgb="FFDFF3E5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1" shrinkToFit="0"/>
    </x:xf>
    <x:xf numFmtId="0" fontId="2" fillId="0" borderId="0" xfId="0" applyFont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0" fontId="3" fillId="0" borderId="1" xfId="0" applyFont="1" applyBorder="1" applyAlignment="1">
      <x:alignment vertical="top" wrapText="1" shrinkToFit="0"/>
    </x:xf>
    <x:xf numFmtId="164" fontId="3" fillId="3" borderId="1" xfId="0" applyNumberFormat="1" applyFont="1" applyFill="1" applyBorder="1" applyAlignment="1">
      <x:alignment vertical="top" wrapText="1" shrinkToFit="0"/>
    </x:xf>
    <x:xf numFmtId="0" fontId="3" fillId="3" borderId="1" xfId="0" applyFont="1" applyFill="1" applyBorder="1" applyAlignment="1">
      <x:alignment vertical="top" wrapText="1" shrinkToFit="0"/>
    </x:xf>
    <x:xf numFmtId="0" fontId="3" fillId="0" borderId="1" xfId="0" applyFont="1" applyBorder="1" applyAlignment="1">
      <x:alignment vertical="center" wrapText="1" shrinkToFit="0"/>
    </x:xf>
    <x:xf numFmtId="165" fontId="3" fillId="0" borderId="0" xfId="0" applyNumberFormat="1" applyFont="1" applyAlignment="1">
      <x:alignment vertical="bottom" wrapText="0" shrinkToFit="0"/>
    </x:xf>
    <x:xf numFmtId="0" fontId="4" fillId="0" borderId="0" xfId="0" applyFont="1" applyAlignment="1">
      <x:alignment vertical="bottom" wrapText="0" shrinkToFit="0"/>
    </x:xf>
    <x:xf numFmtId="0" fontId="3" fillId="4" borderId="1" xfId="0" applyFont="1" applyFill="1" applyBorder="1" applyAlignment="1">
      <x:alignment vertical="top" wrapText="1" shrinkToFit="0"/>
    </x:xf>
    <x:xf numFmtId="0" fontId="3" fillId="4" borderId="1" xfId="0" applyFont="1" applyFill="1" applyBorder="1" applyAlignment="1">
      <x:alignment vertical="top" wrapText="1" shrinkToFit="0"/>
    </x:xf>
    <x:xf numFmtId="0" fontId="5" fillId="4" borderId="0" xfId="0" applyFont="1" applyFill="1"/>
    <x:xf numFmtId="0" fontId="3" fillId="0" borderId="1" xfId="0" applyFont="1" applyBorder="1" applyAlignment="1">
      <x:alignment vertical="center" wrapText="1" shrinkToFit="0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e940bb2e24d6f" /><Relationship Type="http://schemas.openxmlformats.org/officeDocument/2006/relationships/theme" Target="/xl/theme/theme1.xml" Id="R09c49a133d614839" /><Relationship Type="http://schemas.openxmlformats.org/officeDocument/2006/relationships/sharedStrings" Target="/xl/sharedStrings.xml" Id="R439bce608f6a4159" /><Relationship Type="http://schemas.openxmlformats.org/officeDocument/2006/relationships/worksheet" Target="/xl/worksheets/sheet1.xml" Id="Re6d247c1ce1a47ee" /><Relationship Type="http://schemas.openxmlformats.org/officeDocument/2006/relationships/worksheet" Target="/xl/worksheets/sheet2.xml" Id="Rbef7eab458a149bd" /><Relationship Type="http://schemas.openxmlformats.org/officeDocument/2006/relationships/worksheet" Target="/xl/worksheets/sheet3.xml" Id="Rd739ba878bce417d" /><Relationship Type="http://schemas.openxmlformats.org/officeDocument/2006/relationships/worksheet" Target="/xl/worksheets/sheet4.xml" Id="R48c87f0ea07a4f8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ColWidth="14.430000305175781" defaultRowHeight="15"/>
  <x:cols>
    <x:col min="1" max="1" width="11" customWidth="1"/>
    <x:col min="2" max="2" width="20" customWidth="1"/>
    <x:col min="3" max="3" width="38" customWidth="1"/>
    <x:col min="4" max="4" width="36" customWidth="1"/>
    <x:col min="5" max="6" width="30" customWidth="1"/>
    <x:col min="7" max="7" width="60" customWidth="1"/>
    <x:col min="8" max="8" width="44" customWidth="1"/>
    <x:col min="9" max="9" width="9" customWidth="1"/>
    <x:col min="10" max="10" width="15" customWidth="1"/>
    <x:col min="11" max="11" width="22" customWidth="1"/>
    <x:col min="12" max="12" width="34" customWidth="1"/>
    <x:col min="13" max="13" width="24" customWidth="1"/>
    <x:col min="14" max="14" width="17.709999084472656" customWidth="1"/>
    <x:col min="15" max="15" width="60" customWidth="1"/>
    <x:col min="16" max="26" width="8.710000038146973" customWidth="1"/>
  </x:cols>
  <x:sheetData>
    <x:row r="1" ht="31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7" t="s">
        <x:v>15</x:v>
      </x:c>
      <x:c r="B2" s="7" t="s">
        <x:v>16</x:v>
      </x:c>
      <x:c r="C2" s="7" t="s">
        <x:v>17</x:v>
      </x:c>
      <x:c r="D2" s="7" t="s">
        <x:v>18</x:v>
      </x:c>
      <x:c r="E2" s="7" t="s">
        <x:v>19</x:v>
      </x:c>
      <x:c r="F2" s="7" t="s">
        <x:v>20</x:v>
      </x:c>
      <x:c r="G2" s="7" t="s">
        <x:v>21</x:v>
      </x:c>
      <x:c r="H2" s="7" t="s">
        <x:v>22</x:v>
      </x:c>
      <x:c r="I2" s="7" t="s">
        <x:v>23</x:v>
      </x:c>
      <x:c r="J2" s="7" t="s">
        <x:v>24</x:v>
      </x:c>
      <x:c r="K2" s="7" t="s">
        <x:v>25</x:v>
      </x:c>
      <x:c r="L2" s="7" t="s">
        <x:v>26</x:v>
      </x:c>
      <x:c r="M2" s="7" t="s">
        <x:v>27</x:v>
      </x:c>
      <x:c r="N2" s="7" t="s">
        <x:v>28</x:v>
      </x:c>
      <x:c r="O2" s="7" t="s">
        <x:v>29</x:v>
      </x:c>
    </x:row>
    <x:row r="3">
      <x:c r="A3" s="7" t="s">
        <x:v>30</x:v>
      </x:c>
      <x:c r="B3" s="7" t="s">
        <x:v>16</x:v>
      </x:c>
      <x:c r="C3" s="7" t="s">
        <x:v>31</x:v>
      </x:c>
      <x:c r="D3" s="7" t="s">
        <x:v>32</x:v>
      </x:c>
      <x:c r="E3" s="7" t="s">
        <x:v>19</x:v>
      </x:c>
      <x:c r="F3" s="7" t="s">
        <x:v>33</x:v>
      </x:c>
      <x:c r="G3" s="7" t="s">
        <x:v>34</x:v>
      </x:c>
      <x:c r="H3" s="7" t="s">
        <x:v>35</x:v>
      </x:c>
      <x:c r="I3" s="7" t="s">
        <x:v>23</x:v>
      </x:c>
      <x:c r="J3" s="7" t="s">
        <x:v>24</x:v>
      </x:c>
      <x:c r="K3" s="7" t="s">
        <x:v>25</x:v>
      </x:c>
      <x:c r="L3" s="7" t="s">
        <x:v>26</x:v>
      </x:c>
      <x:c r="M3" s="7" t="s">
        <x:v>27</x:v>
      </x:c>
      <x:c r="N3" s="7" t="s">
        <x:v>28</x:v>
      </x:c>
      <x:c r="O3" s="7" t="s">
        <x:v>36</x:v>
      </x:c>
    </x:row>
    <x:row r="4">
      <x:c r="A4" s="7" t="s">
        <x:v>37</x:v>
      </x:c>
      <x:c r="B4" s="7" t="s">
        <x:v>16</x:v>
      </x:c>
      <x:c r="C4" s="7" t="s">
        <x:v>38</x:v>
      </x:c>
      <x:c r="D4" s="7" t="s">
        <x:v>39</x:v>
      </x:c>
      <x:c r="E4" s="7" t="s">
        <x:v>19</x:v>
      </x:c>
      <x:c r="F4" s="7" t="s">
        <x:v>40</x:v>
      </x:c>
      <x:c r="G4" s="7" t="s">
        <x:v>41</x:v>
      </x:c>
      <x:c r="H4" s="7" t="s">
        <x:v>42</x:v>
      </x:c>
      <x:c r="I4" s="7" t="s">
        <x:v>43</x:v>
      </x:c>
      <x:c r="J4" s="7" t="s">
        <x:v>24</x:v>
      </x:c>
      <x:c r="K4" s="7" t="s">
        <x:v>25</x:v>
      </x:c>
      <x:c r="L4" s="7" t="s">
        <x:v>26</x:v>
      </x:c>
      <x:c r="M4" s="7" t="s">
        <x:v>27</x:v>
      </x:c>
      <x:c r="N4" s="7" t="s">
        <x:v>28</x:v>
      </x:c>
      <x:c r="O4" s="7" t="s">
        <x:v>44</x:v>
      </x:c>
    </x:row>
    <x:row r="5">
      <x:c r="A5" s="7" t="s">
        <x:v>45</x:v>
      </x:c>
      <x:c r="B5" s="7" t="s">
        <x:v>16</x:v>
      </x:c>
      <x:c r="C5" s="7" t="s">
        <x:v>46</x:v>
      </x:c>
      <x:c r="D5" s="7" t="s">
        <x:v>47</x:v>
      </x:c>
      <x:c r="E5" s="7" t="s">
        <x:v>19</x:v>
      </x:c>
      <x:c r="F5" s="7" t="s">
        <x:v>48</x:v>
      </x:c>
      <x:c r="G5" s="7" t="s">
        <x:v>49</x:v>
      </x:c>
      <x:c r="H5" s="7" t="s">
        <x:v>50</x:v>
      </x:c>
      <x:c r="I5" s="7" t="s">
        <x:v>23</x:v>
      </x:c>
      <x:c r="J5" s="7" t="s">
        <x:v>51</x:v>
      </x:c>
      <x:c r="K5" s="7" t="s">
        <x:v>25</x:v>
      </x:c>
      <x:c r="L5" s="7" t="s">
        <x:v>26</x:v>
      </x:c>
      <x:c r="M5" s="7" t="s">
        <x:v>27</x:v>
      </x:c>
      <x:c r="N5" s="7" t="s">
        <x:v>28</x:v>
      </x:c>
      <x:c r="O5" s="7" t="s">
        <x:v>52</x:v>
      </x:c>
    </x:row>
    <x:row r="6">
      <x:c r="A6" s="7" t="s">
        <x:v>53</x:v>
      </x:c>
      <x:c r="B6" s="7" t="s">
        <x:v>54</x:v>
      </x:c>
      <x:c r="C6" s="7" t="s">
        <x:v>55</x:v>
      </x:c>
      <x:c r="D6" s="7" t="s">
        <x:v>56</x:v>
      </x:c>
      <x:c r="E6" s="7" t="s">
        <x:v>57</x:v>
      </x:c>
      <x:c r="F6" s="7" t="s">
        <x:v>58</x:v>
      </x:c>
      <x:c r="G6" s="7" t="s">
        <x:v>59</x:v>
      </x:c>
      <x:c r="H6" s="7" t="s">
        <x:v>60</x:v>
      </x:c>
      <x:c r="I6" s="7" t="s">
        <x:v>23</x:v>
      </x:c>
      <x:c r="J6" s="7" t="s">
        <x:v>61</x:v>
      </x:c>
      <x:c r="K6" s="7" t="s">
        <x:v>25</x:v>
      </x:c>
      <x:c r="L6" s="7" t="s">
        <x:v>26</x:v>
      </x:c>
      <x:c r="M6" s="7" t="s">
        <x:v>27</x:v>
      </x:c>
      <x:c r="N6" s="7" t="s">
        <x:v>28</x:v>
      </x:c>
      <x:c r="O6" s="7" t="s">
        <x:v>62</x:v>
      </x:c>
    </x:row>
    <x:row r="7">
      <x:c r="A7" s="7" t="s">
        <x:v>63</x:v>
      </x:c>
      <x:c r="B7" s="7" t="s">
        <x:v>54</x:v>
      </x:c>
      <x:c r="C7" s="7" t="s">
        <x:v>64</x:v>
      </x:c>
      <x:c r="D7" s="7" t="s">
        <x:v>65</x:v>
      </x:c>
      <x:c r="E7" s="7" t="s">
        <x:v>19</x:v>
      </x:c>
      <x:c r="F7" s="7" t="s">
        <x:v>66</x:v>
      </x:c>
      <x:c r="G7" s="7" t="s">
        <x:v>67</x:v>
      </x:c>
      <x:c r="H7" s="7" t="s">
        <x:v>68</x:v>
      </x:c>
      <x:c r="I7" s="7" t="s">
        <x:v>23</x:v>
      </x:c>
      <x:c r="J7" s="7" t="s">
        <x:v>51</x:v>
      </x:c>
      <x:c r="K7" s="7" t="s">
        <x:v>25</x:v>
      </x:c>
      <x:c r="L7" s="7" t="s">
        <x:v>26</x:v>
      </x:c>
      <x:c r="M7" s="7" t="s">
        <x:v>27</x:v>
      </x:c>
      <x:c r="N7" s="7" t="s">
        <x:v>28</x:v>
      </x:c>
      <x:c r="O7" s="7" t="s">
        <x:v>69</x:v>
      </x:c>
    </x:row>
    <x:row r="8">
      <x:c r="A8" s="7" t="s">
        <x:v>70</x:v>
      </x:c>
      <x:c r="B8" s="7" t="s">
        <x:v>54</x:v>
      </x:c>
      <x:c r="C8" s="7" t="s">
        <x:v>71</x:v>
      </x:c>
      <x:c r="D8" s="7" t="s">
        <x:v>72</x:v>
      </x:c>
      <x:c r="E8" s="7" t="s">
        <x:v>19</x:v>
      </x:c>
      <x:c r="F8" s="7" t="s">
        <x:v>73</x:v>
      </x:c>
      <x:c r="G8" s="7" t="s">
        <x:v>74</x:v>
      </x:c>
      <x:c r="H8" s="7" t="s">
        <x:v>75</x:v>
      </x:c>
      <x:c r="I8" s="7" t="s">
        <x:v>23</x:v>
      </x:c>
      <x:c r="J8" s="7" t="s">
        <x:v>51</x:v>
      </x:c>
      <x:c r="K8" s="7" t="s">
        <x:v>25</x:v>
      </x:c>
      <x:c r="L8" s="7" t="s">
        <x:v>26</x:v>
      </x:c>
      <x:c r="M8" s="7" t="s">
        <x:v>27</x:v>
      </x:c>
      <x:c r="N8" s="7" t="s">
        <x:v>28</x:v>
      </x:c>
      <x:c r="O8" s="7" t="s">
        <x:v>76</x:v>
      </x:c>
    </x:row>
    <x:row r="9">
      <x:c r="A9" s="7" t="s">
        <x:v>77</x:v>
      </x:c>
      <x:c r="B9" s="7" t="s">
        <x:v>78</x:v>
      </x:c>
      <x:c r="C9" s="7" t="s">
        <x:v>79</x:v>
      </x:c>
      <x:c r="D9" s="7" t="s">
        <x:v>80</x:v>
      </x:c>
      <x:c r="E9" s="7" t="s">
        <x:v>81</x:v>
      </x:c>
      <x:c r="F9" s="7" t="s">
        <x:v>82</x:v>
      </x:c>
      <x:c r="G9" s="7" t="s">
        <x:v>83</x:v>
      </x:c>
      <x:c r="H9" s="7" t="s">
        <x:v>84</x:v>
      </x:c>
      <x:c r="I9" s="7" t="s">
        <x:v>23</x:v>
      </x:c>
      <x:c r="J9" s="7" t="s">
        <x:v>61</x:v>
      </x:c>
      <x:c r="K9" s="7" t="s">
        <x:v>25</x:v>
      </x:c>
      <x:c r="L9" s="7" t="s">
        <x:v>26</x:v>
      </x:c>
      <x:c r="M9" s="7" t="s">
        <x:v>27</x:v>
      </x:c>
      <x:c r="N9" s="7" t="s">
        <x:v>28</x:v>
      </x:c>
      <x:c r="O9" s="7" t="s">
        <x:v>85</x:v>
      </x:c>
    </x:row>
    <x:row r="10">
      <x:c r="A10" s="7" t="s">
        <x:v>86</x:v>
      </x:c>
      <x:c r="B10" s="7" t="s">
        <x:v>87</x:v>
      </x:c>
      <x:c r="C10" s="7" t="s">
        <x:v>88</x:v>
      </x:c>
      <x:c r="D10" s="7" t="s">
        <x:v>89</x:v>
      </x:c>
      <x:c r="E10" s="7" t="s">
        <x:v>90</x:v>
      </x:c>
      <x:c r="F10" s="7" t="s">
        <x:v>91</x:v>
      </x:c>
      <x:c r="G10" s="7" t="s">
        <x:v>92</x:v>
      </x:c>
      <x:c r="H10" s="7" t="s">
        <x:v>93</x:v>
      </x:c>
      <x:c r="I10" s="7" t="s">
        <x:v>23</x:v>
      </x:c>
      <x:c r="J10" s="7" t="s">
        <x:v>61</x:v>
      </x:c>
      <x:c r="K10" s="7" t="s">
        <x:v>25</x:v>
      </x:c>
      <x:c r="L10" s="7" t="s">
        <x:v>26</x:v>
      </x:c>
      <x:c r="M10" s="7" t="s">
        <x:v>27</x:v>
      </x:c>
      <x:c r="N10" s="7" t="s">
        <x:v>28</x:v>
      </x:c>
      <x:c r="O10" s="7" t="s">
        <x:v>94</x:v>
      </x:c>
    </x:row>
    <x:row r="11">
      <x:c r="A11" s="7" t="s">
        <x:v>95</x:v>
      </x:c>
      <x:c r="B11" s="7" t="s">
        <x:v>96</x:v>
      </x:c>
      <x:c r="C11" s="7" t="s">
        <x:v>97</x:v>
      </x:c>
      <x:c r="D11" s="7" t="s">
        <x:v>98</x:v>
      </x:c>
      <x:c r="E11" s="7" t="s">
        <x:v>99</x:v>
      </x:c>
      <x:c r="F11" s="7" t="s">
        <x:v>100</x:v>
      </x:c>
      <x:c r="G11" s="7" t="s">
        <x:v>101</x:v>
      </x:c>
      <x:c r="H11" s="7" t="s">
        <x:v>102</x:v>
      </x:c>
      <x:c r="I11" s="7" t="s">
        <x:v>23</x:v>
      </x:c>
      <x:c r="J11" s="7" t="s">
        <x:v>51</x:v>
      </x:c>
      <x:c r="K11" s="7" t="s">
        <x:v>25</x:v>
      </x:c>
      <x:c r="L11" s="7" t="s">
        <x:v>26</x:v>
      </x:c>
      <x:c r="M11" s="7" t="s">
        <x:v>27</x:v>
      </x:c>
      <x:c r="N11" s="7" t="s">
        <x:v>28</x:v>
      </x:c>
      <x:c r="O11" s="7" t="s">
        <x:v>103</x:v>
      </x:c>
    </x:row>
    <x:row r="12">
      <x:c r="A12" s="7" t="s">
        <x:v>104</x:v>
      </x:c>
      <x:c r="B12" s="7" t="s">
        <x:v>96</x:v>
      </x:c>
      <x:c r="C12" s="7" t="s">
        <x:v>105</x:v>
      </x:c>
      <x:c r="D12" s="7" t="s">
        <x:v>106</x:v>
      </x:c>
      <x:c r="E12" s="7" t="s">
        <x:v>107</x:v>
      </x:c>
      <x:c r="F12" s="7" t="s">
        <x:v>108</x:v>
      </x:c>
      <x:c r="G12" s="7" t="s">
        <x:v>109</x:v>
      </x:c>
      <x:c r="H12" s="7" t="s">
        <x:v>110</x:v>
      </x:c>
      <x:c r="I12" s="7" t="s">
        <x:v>23</x:v>
      </x:c>
      <x:c r="J12" s="7" t="s">
        <x:v>51</x:v>
      </x:c>
      <x:c r="K12" s="7" t="s">
        <x:v>25</x:v>
      </x:c>
      <x:c r="L12" s="7" t="s">
        <x:v>26</x:v>
      </x:c>
      <x:c r="M12" s="7" t="s">
        <x:v>27</x:v>
      </x:c>
      <x:c r="N12" s="7" t="s">
        <x:v>28</x:v>
      </x:c>
      <x:c r="O12" s="7" t="s">
        <x:v>111</x:v>
      </x:c>
    </x:row>
    <x:row r="13">
      <x:c r="A13" s="7" t="s">
        <x:v>112</x:v>
      </x:c>
      <x:c r="B13" s="7" t="s">
        <x:v>16</x:v>
      </x:c>
      <x:c r="C13" s="7" t="s">
        <x:v>113</x:v>
      </x:c>
      <x:c r="D13" s="7" t="s">
        <x:v>114</x:v>
      </x:c>
      <x:c r="E13" s="7" t="s">
        <x:v>19</x:v>
      </x:c>
      <x:c r="F13" s="7" t="s">
        <x:v>100</x:v>
      </x:c>
      <x:c r="G13" s="7" t="s">
        <x:v>115</x:v>
      </x:c>
      <x:c r="H13" s="7" t="s">
        <x:v>116</x:v>
      </x:c>
      <x:c r="I13" s="7" t="s">
        <x:v>117</x:v>
      </x:c>
      <x:c r="J13" s="7" t="s">
        <x:v>24</x:v>
      </x:c>
      <x:c r="K13" s="7" t="s">
        <x:v>25</x:v>
      </x:c>
      <x:c r="L13" s="7" t="s">
        <x:v>26</x:v>
      </x:c>
      <x:c r="M13" s="7" t="s">
        <x:v>27</x:v>
      </x:c>
      <x:c r="N13" s="7" t="s">
        <x:v>28</x:v>
      </x:c>
      <x:c r="O13" s="7" t="s">
        <x:v>118</x:v>
      </x:c>
    </x:row>
    <x:row r="14">
      <x:c r="A14" s="7" t="s">
        <x:v>119</x:v>
      </x:c>
      <x:c r="B14" s="7" t="s">
        <x:v>120</x:v>
      </x:c>
      <x:c r="C14" s="7" t="s">
        <x:v>121</x:v>
      </x:c>
      <x:c r="D14" s="7" t="s">
        <x:v>122</x:v>
      </x:c>
      <x:c r="E14" s="7" t="s">
        <x:v>123</x:v>
      </x:c>
      <x:c r="F14" s="7" t="s">
        <x:v>124</x:v>
      </x:c>
      <x:c r="G14" s="7" t="s">
        <x:v>125</x:v>
      </x:c>
      <x:c r="H14" s="7" t="s">
        <x:v>126</x:v>
      </x:c>
      <x:c r="I14" s="7" t="s">
        <x:v>23</x:v>
      </x:c>
      <x:c r="J14" s="7" t="s">
        <x:v>24</x:v>
      </x:c>
      <x:c r="K14" s="7" t="s">
        <x:v>25</x:v>
      </x:c>
      <x:c r="L14" s="7" t="s">
        <x:v>26</x:v>
      </x:c>
      <x:c r="M14" s="7" t="s">
        <x:v>27</x:v>
      </x:c>
      <x:c r="N14" s="7" t="s">
        <x:v>28</x:v>
      </x:c>
      <x:c r="O14" s="7" t="s">
        <x:v>127</x:v>
      </x:c>
    </x:row>
    <x:row r="15">
      <x:c r="A15" s="7" t="s">
        <x:v>128</x:v>
      </x:c>
      <x:c r="B15" s="7" t="s">
        <x:v>129</x:v>
      </x:c>
      <x:c r="C15" s="7" t="s">
        <x:v>130</x:v>
      </x:c>
      <x:c r="D15" s="7" t="s">
        <x:v>131</x:v>
      </x:c>
      <x:c r="E15" s="7" t="s">
        <x:v>132</x:v>
      </x:c>
      <x:c r="F15" s="7" t="s">
        <x:v>124</x:v>
      </x:c>
      <x:c r="G15" s="7" t="s">
        <x:v>133</x:v>
      </x:c>
      <x:c r="H15" s="7" t="s">
        <x:v>134</x:v>
      </x:c>
      <x:c r="I15" s="7" t="s">
        <x:v>23</x:v>
      </x:c>
      <x:c r="J15" s="7" t="s">
        <x:v>24</x:v>
      </x:c>
      <x:c r="K15" s="7" t="s">
        <x:v>25</x:v>
      </x:c>
      <x:c r="L15" s="7" t="s">
        <x:v>26</x:v>
      </x:c>
      <x:c r="M15" s="7" t="s">
        <x:v>27</x:v>
      </x:c>
      <x:c r="N15" s="7" t="s">
        <x:v>28</x:v>
      </x:c>
      <x:c r="O15" s="7" t="s">
        <x:v>135</x:v>
      </x:c>
    </x:row>
    <x:row r="16">
      <x:c r="A16" s="7" t="s">
        <x:v>136</x:v>
      </x:c>
      <x:c r="B16" s="7" t="s">
        <x:v>129</x:v>
      </x:c>
      <x:c r="C16" s="7" t="s">
        <x:v>137</x:v>
      </x:c>
      <x:c r="D16" s="7" t="s">
        <x:v>138</x:v>
      </x:c>
      <x:c r="E16" s="7" t="s">
        <x:v>139</x:v>
      </x:c>
      <x:c r="F16" s="7" t="s">
        <x:v>124</x:v>
      </x:c>
      <x:c r="G16" s="7" t="s">
        <x:v>140</x:v>
      </x:c>
      <x:c r="H16" s="7" t="s">
        <x:v>141</x:v>
      </x:c>
      <x:c r="I16" s="7" t="s">
        <x:v>23</x:v>
      </x:c>
      <x:c r="J16" s="7" t="s">
        <x:v>24</x:v>
      </x:c>
      <x:c r="K16" s="7" t="s">
        <x:v>25</x:v>
      </x:c>
      <x:c r="L16" s="7" t="s">
        <x:v>26</x:v>
      </x:c>
      <x:c r="M16" s="7" t="s">
        <x:v>27</x:v>
      </x:c>
      <x:c r="N16" s="7" t="s">
        <x:v>28</x:v>
      </x:c>
      <x:c r="O16" s="7" t="s">
        <x:v>142</x:v>
      </x:c>
    </x:row>
    <x:row r="17">
      <x:c r="A17" s="7" t="s">
        <x:v>143</x:v>
      </x:c>
      <x:c r="B17" s="7" t="s">
        <x:v>129</x:v>
      </x:c>
      <x:c r="C17" s="7" t="s">
        <x:v>144</x:v>
      </x:c>
      <x:c r="D17" s="7" t="s">
        <x:v>145</x:v>
      </x:c>
      <x:c r="E17" s="7" t="s">
        <x:v>146</x:v>
      </x:c>
      <x:c r="F17" s="7" t="s">
        <x:v>124</x:v>
      </x:c>
      <x:c r="G17" s="7" t="s">
        <x:v>147</x:v>
      </x:c>
      <x:c r="H17" s="7" t="s">
        <x:v>148</x:v>
      </x:c>
      <x:c r="I17" s="7" t="s">
        <x:v>23</x:v>
      </x:c>
      <x:c r="J17" s="7" t="s">
        <x:v>51</x:v>
      </x:c>
      <x:c r="K17" s="7" t="s">
        <x:v>25</x:v>
      </x:c>
      <x:c r="L17" s="7" t="s">
        <x:v>26</x:v>
      </x:c>
      <x:c r="M17" s="7" t="s">
        <x:v>27</x:v>
      </x:c>
      <x:c r="N17" s="7" t="s">
        <x:v>28</x:v>
      </x:c>
      <x:c r="O17" s="7" t="s">
        <x:v>149</x:v>
      </x:c>
    </x:row>
    <x:row r="18">
      <x:c r="A18" s="7" t="s">
        <x:v>150</x:v>
      </x:c>
      <x:c r="B18" s="7" t="s">
        <x:v>129</x:v>
      </x:c>
      <x:c r="C18" s="7" t="s">
        <x:v>151</x:v>
      </x:c>
      <x:c r="D18" s="7" t="s">
        <x:v>152</x:v>
      </x:c>
      <x:c r="E18" s="7" t="s">
        <x:v>153</x:v>
      </x:c>
      <x:c r="F18" s="7" t="s">
        <x:v>124</x:v>
      </x:c>
      <x:c r="G18" s="7" t="s">
        <x:v>154</x:v>
      </x:c>
      <x:c r="H18" s="7" t="s">
        <x:v>155</x:v>
      </x:c>
      <x:c r="I18" s="7" t="s">
        <x:v>23</x:v>
      </x:c>
      <x:c r="J18" s="7" t="s">
        <x:v>24</x:v>
      </x:c>
      <x:c r="K18" s="7" t="s">
        <x:v>25</x:v>
      </x:c>
      <x:c r="L18" s="7" t="s">
        <x:v>26</x:v>
      </x:c>
      <x:c r="M18" s="7" t="s">
        <x:v>27</x:v>
      </x:c>
      <x:c r="N18" s="7" t="s">
        <x:v>28</x:v>
      </x:c>
      <x:c r="O18" s="7" t="s">
        <x:v>156</x:v>
      </x:c>
    </x:row>
    <x:row r="19">
      <x:c r="A19" s="7" t="s">
        <x:v>157</x:v>
      </x:c>
      <x:c r="B19" s="7" t="s">
        <x:v>158</x:v>
      </x:c>
      <x:c r="C19" s="7" t="s">
        <x:v>159</x:v>
      </x:c>
      <x:c r="D19" s="7" t="s">
        <x:v>160</x:v>
      </x:c>
      <x:c r="E19" s="7" t="s">
        <x:v>161</x:v>
      </x:c>
      <x:c r="F19" s="7" t="s">
        <x:v>124</x:v>
      </x:c>
      <x:c r="G19" s="7" t="s">
        <x:v>162</x:v>
      </x:c>
      <x:c r="H19" s="7" t="s">
        <x:v>163</x:v>
      </x:c>
      <x:c r="I19" s="7" t="s">
        <x:v>23</x:v>
      </x:c>
      <x:c r="J19" s="7" t="s">
        <x:v>51</x:v>
      </x:c>
      <x:c r="K19" s="7" t="s">
        <x:v>25</x:v>
      </x:c>
      <x:c r="L19" s="7" t="s">
        <x:v>26</x:v>
      </x:c>
      <x:c r="M19" s="7" t="s">
        <x:v>27</x:v>
      </x:c>
      <x:c r="N19" s="7" t="s">
        <x:v>28</x:v>
      </x:c>
      <x:c r="O19" s="7" t="s">
        <x:v>164</x:v>
      </x:c>
    </x:row>
    <x:row r="20">
      <x:c r="A20" s="7" t="s">
        <x:v>165</x:v>
      </x:c>
      <x:c r="B20" s="7" t="s">
        <x:v>166</x:v>
      </x:c>
      <x:c r="C20" s="7" t="s">
        <x:v>167</x:v>
      </x:c>
      <x:c r="D20" s="7" t="s">
        <x:v>168</x:v>
      </x:c>
      <x:c r="E20" s="7" t="s">
        <x:v>169</x:v>
      </x:c>
      <x:c r="F20" s="7" t="s">
        <x:v>124</x:v>
      </x:c>
      <x:c r="G20" s="7" t="s">
        <x:v>170</x:v>
      </x:c>
      <x:c r="H20" s="7" t="s">
        <x:v>171</x:v>
      </x:c>
      <x:c r="I20" s="7" t="s">
        <x:v>23</x:v>
      </x:c>
      <x:c r="J20" s="7" t="s">
        <x:v>24</x:v>
      </x:c>
      <x:c r="K20" s="7" t="s">
        <x:v>25</x:v>
      </x:c>
      <x:c r="L20" s="7" t="s">
        <x:v>26</x:v>
      </x:c>
      <x:c r="M20" s="7" t="s">
        <x:v>27</x:v>
      </x:c>
      <x:c r="N20" s="7" t="s">
        <x:v>28</x:v>
      </x:c>
      <x:c r="O20" s="7" t="s">
        <x:v>172</x:v>
      </x:c>
    </x:row>
    <x:row r="21" ht="15.75" customHeight="1">
      <x:c r="A21" s="7" t="s">
        <x:v>173</x:v>
      </x:c>
      <x:c r="B21" s="7" t="s">
        <x:v>166</x:v>
      </x:c>
      <x:c r="C21" s="7" t="s">
        <x:v>174</x:v>
      </x:c>
      <x:c r="D21" s="7" t="s">
        <x:v>175</x:v>
      </x:c>
      <x:c r="E21" s="7" t="s">
        <x:v>176</x:v>
      </x:c>
      <x:c r="F21" s="7" t="s">
        <x:v>124</x:v>
      </x:c>
      <x:c r="G21" s="7" t="s">
        <x:v>177</x:v>
      </x:c>
      <x:c r="H21" s="7" t="s">
        <x:v>148</x:v>
      </x:c>
      <x:c r="I21" s="7" t="s">
        <x:v>117</x:v>
      </x:c>
      <x:c r="J21" s="7" t="s">
        <x:v>24</x:v>
      </x:c>
      <x:c r="K21" s="7" t="s">
        <x:v>25</x:v>
      </x:c>
      <x:c r="L21" s="7" t="s">
        <x:v>26</x:v>
      </x:c>
      <x:c r="M21" s="7" t="s">
        <x:v>27</x:v>
      </x:c>
      <x:c r="N21" s="7" t="s">
        <x:v>28</x:v>
      </x:c>
      <x:c r="O21" s="7" t="s">
        <x:v>178</x:v>
      </x:c>
    </x:row>
    <x:row r="22" ht="15.75" customHeight="1">
      <x:c r="A22" s="7" t="s">
        <x:v>179</x:v>
      </x:c>
      <x:c r="B22" s="7" t="s">
        <x:v>180</x:v>
      </x:c>
      <x:c r="C22" s="7" t="s">
        <x:v>181</x:v>
      </x:c>
      <x:c r="D22" s="7" t="s">
        <x:v>182</x:v>
      </x:c>
      <x:c r="E22" s="7" t="s">
        <x:v>183</x:v>
      </x:c>
      <x:c r="F22" s="7" t="s">
        <x:v>124</x:v>
      </x:c>
      <x:c r="G22" s="7" t="s">
        <x:v>184</x:v>
      </x:c>
      <x:c r="H22" s="7" t="s">
        <x:v>185</x:v>
      </x:c>
      <x:c r="I22" s="7" t="s">
        <x:v>43</x:v>
      </x:c>
      <x:c r="J22" s="7" t="s">
        <x:v>24</x:v>
      </x:c>
      <x:c r="K22" s="7" t="s">
        <x:v>25</x:v>
      </x:c>
      <x:c r="L22" s="7" t="s">
        <x:v>26</x:v>
      </x:c>
      <x:c r="M22" s="7" t="s">
        <x:v>27</x:v>
      </x:c>
      <x:c r="N22" s="7" t="s">
        <x:v>28</x:v>
      </x:c>
      <x:c r="O22" s="7" t="s">
        <x:v>186</x:v>
      </x:c>
    </x:row>
    <x:row r="23" ht="15.75" customHeight="1">
      <x:c r="A23" s="7" t="s">
        <x:v>187</x:v>
      </x:c>
      <x:c r="B23" s="7" t="s">
        <x:v>188</x:v>
      </x:c>
      <x:c r="C23" s="7" t="s">
        <x:v>189</x:v>
      </x:c>
      <x:c r="D23" s="7" t="s">
        <x:v>190</x:v>
      </x:c>
      <x:c r="E23" s="7" t="s">
        <x:v>191</x:v>
      </x:c>
      <x:c r="F23" s="7" t="s">
        <x:v>124</x:v>
      </x:c>
      <x:c r="G23" s="7" t="s">
        <x:v>192</x:v>
      </x:c>
      <x:c r="H23" s="7" t="s">
        <x:v>193</x:v>
      </x:c>
      <x:c r="I23" s="7" t="s">
        <x:v>117</x:v>
      </x:c>
      <x:c r="J23" s="7" t="s">
        <x:v>61</x:v>
      </x:c>
      <x:c r="K23" s="7" t="s">
        <x:v>25</x:v>
      </x:c>
      <x:c r="L23" s="7" t="s">
        <x:v>26</x:v>
      </x:c>
      <x:c r="M23" s="7" t="s">
        <x:v>27</x:v>
      </x:c>
      <x:c r="N23" s="7" t="s">
        <x:v>28</x:v>
      </x:c>
      <x:c r="O23" s="7" t="s">
        <x:v>194</x:v>
      </x:c>
    </x:row>
    <x:row r="24" ht="15.75" customHeight="1">
      <x:c r="A24" s="7" t="s">
        <x:v>195</x:v>
      </x:c>
      <x:c r="B24" s="7" t="s">
        <x:v>196</x:v>
      </x:c>
      <x:c r="C24" s="7" t="s">
        <x:v>197</x:v>
      </x:c>
      <x:c r="D24" s="7" t="s">
        <x:v>198</x:v>
      </x:c>
      <x:c r="E24" s="7" t="s">
        <x:v>199</x:v>
      </x:c>
      <x:c r="F24" s="7" t="s">
        <x:v>200</x:v>
      </x:c>
      <x:c r="G24" s="7" t="s">
        <x:v>201</x:v>
      </x:c>
      <x:c r="H24" s="7" t="s">
        <x:v>202</x:v>
      </x:c>
      <x:c r="I24" s="7" t="s">
        <x:v>23</x:v>
      </x:c>
      <x:c r="J24" s="7" t="s">
        <x:v>24</x:v>
      </x:c>
      <x:c r="K24" s="7" t="s">
        <x:v>25</x:v>
      </x:c>
      <x:c r="L24" s="7" t="s">
        <x:v>26</x:v>
      </x:c>
      <x:c r="M24" s="7" t="s">
        <x:v>27</x:v>
      </x:c>
      <x:c r="N24" s="7" t="s">
        <x:v>28</x:v>
      </x:c>
      <x:c r="O24" s="7" t="s">
        <x:v>203</x:v>
      </x:c>
    </x:row>
    <x:row r="25" ht="15.75" customHeight="1">
      <x:c r="A25" s="7" t="s">
        <x:v>204</x:v>
      </x:c>
      <x:c r="B25" s="7" t="s">
        <x:v>196</x:v>
      </x:c>
      <x:c r="C25" s="7" t="s">
        <x:v>205</x:v>
      </x:c>
      <x:c r="D25" s="7" t="s">
        <x:v>206</x:v>
      </x:c>
      <x:c r="E25" s="7" t="s">
        <x:v>199</x:v>
      </x:c>
      <x:c r="F25" s="7" t="s">
        <x:v>200</x:v>
      </x:c>
      <x:c r="G25" s="7" t="s">
        <x:v>207</x:v>
      </x:c>
      <x:c r="H25" s="7" t="s">
        <x:v>202</x:v>
      </x:c>
      <x:c r="I25" s="7" t="s">
        <x:v>23</x:v>
      </x:c>
      <x:c r="J25" s="7" t="s">
        <x:v>24</x:v>
      </x:c>
      <x:c r="K25" s="7" t="s">
        <x:v>25</x:v>
      </x:c>
      <x:c r="L25" s="7" t="s">
        <x:v>26</x:v>
      </x:c>
      <x:c r="M25" s="7" t="s">
        <x:v>27</x:v>
      </x:c>
      <x:c r="N25" s="7" t="s">
        <x:v>28</x:v>
      </x:c>
      <x:c r="O25" s="7" t="s">
        <x:v>208</x:v>
      </x:c>
    </x:row>
    <x:row r="26" ht="15.75" customHeight="1">
      <x:c r="A26" s="7" t="s">
        <x:v>209</x:v>
      </x:c>
      <x:c r="B26" s="7" t="s">
        <x:v>196</x:v>
      </x:c>
      <x:c r="C26" s="7" t="s">
        <x:v>210</x:v>
      </x:c>
      <x:c r="D26" s="7" t="s">
        <x:v>211</x:v>
      </x:c>
      <x:c r="E26" s="7" t="s">
        <x:v>199</x:v>
      </x:c>
      <x:c r="F26" s="7" t="s">
        <x:v>212</x:v>
      </x:c>
      <x:c r="G26" s="7" t="s">
        <x:v>213</x:v>
      </x:c>
      <x:c r="H26" s="7" t="s">
        <x:v>214</x:v>
      </x:c>
      <x:c r="I26" s="7" t="s">
        <x:v>23</x:v>
      </x:c>
      <x:c r="J26" s="7" t="s">
        <x:v>61</x:v>
      </x:c>
      <x:c r="K26" s="7" t="s">
        <x:v>25</x:v>
      </x:c>
      <x:c r="L26" s="7" t="s">
        <x:v>26</x:v>
      </x:c>
      <x:c r="M26" s="7" t="s">
        <x:v>27</x:v>
      </x:c>
      <x:c r="N26" s="7" t="s">
        <x:v>28</x:v>
      </x:c>
      <x:c r="O26" s="7" t="s">
        <x:v>215</x:v>
      </x:c>
    </x:row>
    <x:row r="27" ht="15.75" customHeight="1">
      <x:c r="A27" s="7" t="s">
        <x:v>216</x:v>
      </x:c>
      <x:c r="B27" s="7" t="s">
        <x:v>217</x:v>
      </x:c>
      <x:c r="C27" s="7" t="s">
        <x:v>218</x:v>
      </x:c>
      <x:c r="D27" s="7" t="s">
        <x:v>219</x:v>
      </x:c>
      <x:c r="E27" s="7" t="s">
        <x:v>220</x:v>
      </x:c>
      <x:c r="F27" s="7" t="s">
        <x:v>221</x:v>
      </x:c>
      <x:c r="G27" s="7" t="s">
        <x:v>222</x:v>
      </x:c>
      <x:c r="H27" s="7" t="s">
        <x:v>223</x:v>
      </x:c>
      <x:c r="I27" s="7" t="s">
        <x:v>23</x:v>
      </x:c>
      <x:c r="J27" s="7" t="s">
        <x:v>24</x:v>
      </x:c>
      <x:c r="K27" s="7" t="s">
        <x:v>25</x:v>
      </x:c>
      <x:c r="L27" s="7" t="s">
        <x:v>26</x:v>
      </x:c>
      <x:c r="M27" s="7" t="s">
        <x:v>27</x:v>
      </x:c>
      <x:c r="N27" s="7" t="s">
        <x:v>28</x:v>
      </x:c>
      <x:c r="O27" s="7" t="s">
        <x:v>224</x:v>
      </x:c>
    </x:row>
    <x:row r="28" ht="15.75" customHeight="1">
      <x:c r="A28" s="7" t="s">
        <x:v>225</x:v>
      </x:c>
      <x:c r="B28" s="7" t="s">
        <x:v>226</x:v>
      </x:c>
      <x:c r="C28" s="7" t="s">
        <x:v>227</x:v>
      </x:c>
      <x:c r="D28" s="7" t="s">
        <x:v>228</x:v>
      </x:c>
      <x:c r="E28" s="7" t="s">
        <x:v>229</x:v>
      </x:c>
      <x:c r="F28" s="7" t="s">
        <x:v>221</x:v>
      </x:c>
      <x:c r="G28" s="7" t="s">
        <x:v>230</x:v>
      </x:c>
      <x:c r="H28" s="7" t="s">
        <x:v>231</x:v>
      </x:c>
      <x:c r="I28" s="7" t="s">
        <x:v>23</x:v>
      </x:c>
      <x:c r="J28" s="7" t="s">
        <x:v>24</x:v>
      </x:c>
      <x:c r="K28" s="7" t="s">
        <x:v>25</x:v>
      </x:c>
      <x:c r="L28" s="7" t="s">
        <x:v>26</x:v>
      </x:c>
      <x:c r="M28" s="7" t="s">
        <x:v>27</x:v>
      </x:c>
      <x:c r="N28" s="7" t="s">
        <x:v>28</x:v>
      </x:c>
      <x:c r="O28" s="7" t="s">
        <x:v>232</x:v>
      </x:c>
    </x:row>
    <x:row r="29" ht="15.75" customHeight="1">
      <x:c r="A29" s="7" t="s">
        <x:v>233</x:v>
      </x:c>
      <x:c r="B29" s="7" t="s">
        <x:v>234</x:v>
      </x:c>
      <x:c r="C29" s="7" t="s">
        <x:v>235</x:v>
      </x:c>
      <x:c r="D29" s="7" t="s">
        <x:v>236</x:v>
      </x:c>
      <x:c r="E29" s="7" t="s">
        <x:v>237</x:v>
      </x:c>
      <x:c r="F29" s="7" t="s">
        <x:v>238</x:v>
      </x:c>
      <x:c r="G29" s="7" t="s">
        <x:v>239</x:v>
      </x:c>
      <x:c r="H29" s="7" t="s">
        <x:v>240</x:v>
      </x:c>
      <x:c r="I29" s="7" t="s">
        <x:v>23</x:v>
      </x:c>
      <x:c r="J29" s="7" t="s">
        <x:v>241</x:v>
      </x:c>
      <x:c r="K29" s="7" t="s">
        <x:v>25</x:v>
      </x:c>
      <x:c r="L29" s="7" t="s">
        <x:v>26</x:v>
      </x:c>
      <x:c r="M29" s="7" t="s">
        <x:v>27</x:v>
      </x:c>
      <x:c r="N29" s="7" t="s">
        <x:v>28</x:v>
      </x:c>
      <x:c r="O29" s="7" t="s">
        <x:v>242</x:v>
      </x:c>
    </x:row>
    <x:row r="30" ht="15.75" customHeight="1">
      <x:c r="A30" s="7" t="s">
        <x:v>243</x:v>
      </x:c>
      <x:c r="B30" s="7" t="s">
        <x:v>244</x:v>
      </x:c>
      <x:c r="C30" s="7" t="s">
        <x:v>245</x:v>
      </x:c>
      <x:c r="D30" s="7" t="s">
        <x:v>246</x:v>
      </x:c>
      <x:c r="E30" s="7" t="s">
        <x:v>247</x:v>
      </x:c>
      <x:c r="F30" s="7" t="s">
        <x:v>221</x:v>
      </x:c>
      <x:c r="G30" s="7" t="s">
        <x:v>248</x:v>
      </x:c>
      <x:c r="H30" s="7" t="s">
        <x:v>249</x:v>
      </x:c>
      <x:c r="I30" s="7" t="s">
        <x:v>43</x:v>
      </x:c>
      <x:c r="J30" s="7" t="s">
        <x:v>61</x:v>
      </x:c>
      <x:c r="K30" s="7" t="s">
        <x:v>25</x:v>
      </x:c>
      <x:c r="L30" s="7" t="s">
        <x:v>26</x:v>
      </x:c>
      <x:c r="M30" s="7" t="s">
        <x:v>27</x:v>
      </x:c>
      <x:c r="N30" s="7" t="s">
        <x:v>28</x:v>
      </x:c>
      <x:c r="O30" s="7" t="s">
        <x:v>250</x:v>
      </x:c>
    </x:row>
    <x:row r="31" ht="15.75" customHeight="1">
      <x:c r="A31" s="7" t="s">
        <x:v>251</x:v>
      </x:c>
      <x:c r="B31" s="7" t="s">
        <x:v>252</x:v>
      </x:c>
      <x:c r="C31" s="7" t="s">
        <x:v>253</x:v>
      </x:c>
      <x:c r="D31" s="7" t="s">
        <x:v>254</x:v>
      </x:c>
      <x:c r="E31" s="7" t="s">
        <x:v>255</x:v>
      </x:c>
      <x:c r="F31" s="7" t="s">
        <x:v>256</x:v>
      </x:c>
      <x:c r="G31" s="7" t="s">
        <x:v>257</x:v>
      </x:c>
      <x:c r="H31" s="7" t="s">
        <x:v>258</x:v>
      </x:c>
      <x:c r="I31" s="7" t="s">
        <x:v>117</x:v>
      </x:c>
      <x:c r="J31" s="7" t="s">
        <x:v>24</x:v>
      </x:c>
      <x:c r="K31" s="7" t="s">
        <x:v>25</x:v>
      </x:c>
      <x:c r="L31" s="7" t="s">
        <x:v>26</x:v>
      </x:c>
      <x:c r="M31" s="7" t="s">
        <x:v>27</x:v>
      </x:c>
      <x:c r="N31" s="7" t="s">
        <x:v>28</x:v>
      </x:c>
      <x:c r="O31" s="7" t="s">
        <x:v>259</x:v>
      </x:c>
    </x:row>
    <x:row r="32" ht="15.75" customHeight="1">
      <x:c r="A32" s="7" t="s">
        <x:v>260</x:v>
      </x:c>
      <x:c r="B32" s="7" t="s">
        <x:v>261</x:v>
      </x:c>
      <x:c r="C32" s="7" t="s">
        <x:v>262</x:v>
      </x:c>
      <x:c r="D32" s="7" t="s">
        <x:v>263</x:v>
      </x:c>
      <x:c r="E32" s="7" t="s">
        <x:v>264</x:v>
      </x:c>
      <x:c r="F32" s="7" t="s">
        <x:v>265</x:v>
      </x:c>
      <x:c r="G32" s="7" t="s">
        <x:v>266</x:v>
      </x:c>
      <x:c r="H32" s="7" t="s">
        <x:v>267</x:v>
      </x:c>
      <x:c r="I32" s="7" t="s">
        <x:v>23</x:v>
      </x:c>
      <x:c r="J32" s="7" t="s">
        <x:v>241</x:v>
      </x:c>
      <x:c r="K32" s="7" t="s">
        <x:v>25</x:v>
      </x:c>
      <x:c r="L32" s="7" t="s">
        <x:v>26</x:v>
      </x:c>
      <x:c r="M32" s="7" t="s">
        <x:v>27</x:v>
      </x:c>
      <x:c r="N32" s="7" t="s">
        <x:v>28</x:v>
      </x:c>
      <x:c r="O32" s="7" t="s">
        <x:v>268</x:v>
      </x:c>
    </x:row>
    <x:row r="33" ht="15.75" customHeight="1">
      <x:c r="A33" s="7" t="s">
        <x:v>269</x:v>
      </x:c>
      <x:c r="B33" s="7" t="s">
        <x:v>270</x:v>
      </x:c>
      <x:c r="C33" s="7" t="s">
        <x:v>271</x:v>
      </x:c>
      <x:c r="D33" s="7" t="s">
        <x:v>272</x:v>
      </x:c>
      <x:c r="E33" s="7" t="s">
        <x:v>220</x:v>
      </x:c>
      <x:c r="F33" s="7" t="s">
        <x:v>256</x:v>
      </x:c>
      <x:c r="G33" s="7" t="s">
        <x:v>257</x:v>
      </x:c>
      <x:c r="H33" s="7" t="s">
        <x:v>273</x:v>
      </x:c>
      <x:c r="I33" s="7" t="s">
        <x:v>23</x:v>
      </x:c>
      <x:c r="J33" s="7" t="s">
        <x:v>24</x:v>
      </x:c>
      <x:c r="K33" s="7" t="s">
        <x:v>25</x:v>
      </x:c>
      <x:c r="L33" s="7" t="s">
        <x:v>26</x:v>
      </x:c>
      <x:c r="M33" s="7" t="s">
        <x:v>27</x:v>
      </x:c>
      <x:c r="N33" s="7" t="s">
        <x:v>28</x:v>
      </x:c>
      <x:c r="O33" s="7" t="s">
        <x:v>274</x:v>
      </x:c>
    </x:row>
    <x:row r="34" ht="15.75" customHeight="1">
      <x:c r="A34" s="7" t="s">
        <x:v>275</x:v>
      </x:c>
      <x:c r="B34" s="7" t="s">
        <x:v>276</x:v>
      </x:c>
      <x:c r="C34" s="7" t="s">
        <x:v>277</x:v>
      </x:c>
      <x:c r="D34" s="7" t="s">
        <x:v>278</x:v>
      </x:c>
      <x:c r="E34" s="7" t="s">
        <x:v>220</x:v>
      </x:c>
      <x:c r="F34" s="7" t="s">
        <x:v>279</x:v>
      </x:c>
      <x:c r="G34" s="7" t="s">
        <x:v>280</x:v>
      </x:c>
      <x:c r="H34" s="7" t="s">
        <x:v>281</x:v>
      </x:c>
      <x:c r="I34" s="7" t="s">
        <x:v>23</x:v>
      </x:c>
      <x:c r="J34" s="7" t="s">
        <x:v>51</x:v>
      </x:c>
      <x:c r="K34" s="7" t="s">
        <x:v>25</x:v>
      </x:c>
      <x:c r="L34" s="7" t="s">
        <x:v>26</x:v>
      </x:c>
      <x:c r="M34" s="7" t="s">
        <x:v>27</x:v>
      </x:c>
      <x:c r="N34" s="7" t="s">
        <x:v>28</x:v>
      </x:c>
      <x:c r="O34" s="7" t="s">
        <x:v>282</x:v>
      </x:c>
    </x:row>
    <x:row r="35" ht="15.75" customHeight="1">
      <x:c r="A35" s="7" t="s">
        <x:v>283</x:v>
      </x:c>
      <x:c r="B35" s="7" t="s">
        <x:v>284</x:v>
      </x:c>
      <x:c r="C35" s="7" t="s">
        <x:v>285</x:v>
      </x:c>
      <x:c r="D35" s="7" t="s">
        <x:v>286</x:v>
      </x:c>
      <x:c r="E35" s="7" t="s">
        <x:v>237</x:v>
      </x:c>
      <x:c r="F35" s="7" t="s">
        <x:v>287</x:v>
      </x:c>
      <x:c r="G35" s="7" t="s">
        <x:v>288</x:v>
      </x:c>
      <x:c r="H35" s="7" t="s">
        <x:v>289</x:v>
      </x:c>
      <x:c r="I35" s="7" t="s">
        <x:v>23</x:v>
      </x:c>
      <x:c r="J35" s="7" t="s">
        <x:v>241</x:v>
      </x:c>
      <x:c r="K35" s="7" t="s">
        <x:v>25</x:v>
      </x:c>
      <x:c r="L35" s="7" t="s">
        <x:v>26</x:v>
      </x:c>
      <x:c r="M35" s="7" t="s">
        <x:v>27</x:v>
      </x:c>
      <x:c r="N35" s="7" t="s">
        <x:v>28</x:v>
      </x:c>
      <x:c r="O35" s="7" t="s">
        <x:v>290</x:v>
      </x:c>
    </x:row>
    <x:row r="36" ht="15.75" customHeight="1">
      <x:c r="A36" s="7" t="s">
        <x:v>291</x:v>
      </x:c>
      <x:c r="B36" s="7" t="s">
        <x:v>244</x:v>
      </x:c>
      <x:c r="C36" s="7" t="s">
        <x:v>292</x:v>
      </x:c>
      <x:c r="D36" s="7" t="s">
        <x:v>293</x:v>
      </x:c>
      <x:c r="E36" s="7" t="s">
        <x:v>247</x:v>
      </x:c>
      <x:c r="F36" s="7" t="s">
        <x:v>221</x:v>
      </x:c>
      <x:c r="G36" s="7" t="s">
        <x:v>294</x:v>
      </x:c>
      <x:c r="H36" s="7" t="s">
        <x:v>295</x:v>
      </x:c>
      <x:c r="I36" s="7" t="s">
        <x:v>23</x:v>
      </x:c>
      <x:c r="J36" s="7" t="s">
        <x:v>24</x:v>
      </x:c>
      <x:c r="K36" s="7" t="s">
        <x:v>25</x:v>
      </x:c>
      <x:c r="L36" s="7" t="s">
        <x:v>26</x:v>
      </x:c>
      <x:c r="M36" s="7" t="s">
        <x:v>27</x:v>
      </x:c>
      <x:c r="N36" s="7" t="s">
        <x:v>28</x:v>
      </x:c>
      <x:c r="O36" s="7" t="s">
        <x:v>296</x:v>
      </x:c>
    </x:row>
    <x:row r="37" ht="15.75" customHeight="1">
      <x:c r="A37" s="7" t="s">
        <x:v>297</x:v>
      </x:c>
      <x:c r="B37" s="7" t="s">
        <x:v>244</x:v>
      </x:c>
      <x:c r="C37" s="7" t="s">
        <x:v>298</x:v>
      </x:c>
      <x:c r="D37" s="7" t="s">
        <x:v>299</x:v>
      </x:c>
      <x:c r="E37" s="7" t="s">
        <x:v>300</x:v>
      </x:c>
      <x:c r="F37" s="7" t="s">
        <x:v>221</x:v>
      </x:c>
      <x:c r="G37" s="7" t="s">
        <x:v>301</x:v>
      </x:c>
      <x:c r="H37" s="7" t="s">
        <x:v>302</x:v>
      </x:c>
      <x:c r="I37" s="7" t="s">
        <x:v>23</x:v>
      </x:c>
      <x:c r="J37" s="7" t="s">
        <x:v>51</x:v>
      </x:c>
      <x:c r="K37" s="7" t="s">
        <x:v>25</x:v>
      </x:c>
      <x:c r="L37" s="7" t="s">
        <x:v>26</x:v>
      </x:c>
      <x:c r="M37" s="7" t="s">
        <x:v>27</x:v>
      </x:c>
      <x:c r="N37" s="7" t="s">
        <x:v>28</x:v>
      </x:c>
      <x:c r="O37" s="7" t="s">
        <x:v>303</x:v>
      </x:c>
    </x:row>
    <x:row r="38" ht="15.75" customHeight="1">
      <x:c r="A38" s="7" t="s">
        <x:v>304</x:v>
      </x:c>
      <x:c r="B38" s="7" t="s">
        <x:v>305</x:v>
      </x:c>
      <x:c r="C38" s="7" t="s">
        <x:v>306</x:v>
      </x:c>
      <x:c r="D38" s="7" t="s">
        <x:v>307</x:v>
      </x:c>
      <x:c r="E38" s="7" t="s">
        <x:v>308</x:v>
      </x:c>
      <x:c r="F38" s="7" t="s">
        <x:v>309</x:v>
      </x:c>
      <x:c r="G38" s="7" t="s">
        <x:v>310</x:v>
      </x:c>
      <x:c r="H38" s="7" t="s">
        <x:v>311</x:v>
      </x:c>
      <x:c r="I38" s="7" t="s">
        <x:v>23</x:v>
      </x:c>
      <x:c r="J38" s="7" t="s">
        <x:v>312</x:v>
      </x:c>
      <x:c r="K38" s="7" t="s">
        <x:v>25</x:v>
      </x:c>
      <x:c r="L38" s="7" t="s">
        <x:v>26</x:v>
      </x:c>
      <x:c r="M38" s="7" t="s">
        <x:v>27</x:v>
      </x:c>
      <x:c r="N38" s="7" t="s">
        <x:v>28</x:v>
      </x:c>
      <x:c r="O38" s="7" t="s">
        <x:v>313</x:v>
      </x:c>
    </x:row>
    <x:row r="39" ht="15.75" customHeight="1">
      <x:c r="A39" s="7" t="s">
        <x:v>314</x:v>
      </x:c>
      <x:c r="B39" s="7" t="s">
        <x:v>315</x:v>
      </x:c>
      <x:c r="C39" s="7" t="s">
        <x:v>316</x:v>
      </x:c>
      <x:c r="D39" s="7" t="s">
        <x:v>317</x:v>
      </x:c>
      <x:c r="E39" s="7" t="s">
        <x:v>318</x:v>
      </x:c>
      <x:c r="F39" s="7" t="s">
        <x:v>319</x:v>
      </x:c>
      <x:c r="G39" s="7" t="s">
        <x:v>320</x:v>
      </x:c>
      <x:c r="H39" s="7" t="s">
        <x:v>321</x:v>
      </x:c>
      <x:c r="I39" s="7" t="s">
        <x:v>43</x:v>
      </x:c>
      <x:c r="J39" s="7" t="s">
        <x:v>24</x:v>
      </x:c>
      <x:c r="K39" s="7" t="s">
        <x:v>25</x:v>
      </x:c>
      <x:c r="L39" s="7" t="s">
        <x:v>26</x:v>
      </x:c>
      <x:c r="M39" s="7" t="s">
        <x:v>27</x:v>
      </x:c>
      <x:c r="N39" s="7" t="s">
        <x:v>28</x:v>
      </x:c>
      <x:c r="O39" s="7" t="s">
        <x:v>322</x:v>
      </x:c>
    </x:row>
    <x:row r="40" ht="15.75" customHeight="1">
      <x:c r="A40" s="7" t="s">
        <x:v>323</x:v>
      </x:c>
      <x:c r="B40" s="7" t="s">
        <x:v>324</x:v>
      </x:c>
      <x:c r="C40" s="7" t="s">
        <x:v>325</x:v>
      </x:c>
      <x:c r="D40" s="7" t="s">
        <x:v>326</x:v>
      </x:c>
      <x:c r="E40" s="7" t="s">
        <x:v>327</x:v>
      </x:c>
      <x:c r="F40" s="7" t="s">
        <x:v>328</x:v>
      </x:c>
      <x:c r="G40" s="7" t="s">
        <x:v>329</x:v>
      </x:c>
      <x:c r="H40" s="7" t="s">
        <x:v>330</x:v>
      </x:c>
      <x:c r="I40" s="7" t="s">
        <x:v>23</x:v>
      </x:c>
      <x:c r="J40" s="7" t="s">
        <x:v>24</x:v>
      </x:c>
      <x:c r="K40" s="7" t="s">
        <x:v>25</x:v>
      </x:c>
      <x:c r="L40" s="7" t="s">
        <x:v>26</x:v>
      </x:c>
      <x:c r="M40" s="7" t="s">
        <x:v>27</x:v>
      </x:c>
      <x:c r="N40" s="7" t="s">
        <x:v>28</x:v>
      </x:c>
      <x:c r="O40" s="7" t="s">
        <x:v>331</x:v>
      </x:c>
    </x:row>
    <x:row r="41" ht="15.75" customHeight="1">
      <x:c r="A41" s="7" t="s">
        <x:v>332</x:v>
      </x:c>
      <x:c r="B41" s="7" t="s">
        <x:v>333</x:v>
      </x:c>
      <x:c r="C41" s="7" t="s">
        <x:v>334</x:v>
      </x:c>
      <x:c r="D41" s="7" t="s">
        <x:v>335</x:v>
      </x:c>
      <x:c r="E41" s="7" t="s">
        <x:v>191</x:v>
      </x:c>
      <x:c r="F41" s="7" t="s">
        <x:v>336</x:v>
      </x:c>
      <x:c r="G41" s="7" t="s">
        <x:v>337</x:v>
      </x:c>
      <x:c r="H41" s="7" t="s">
        <x:v>338</x:v>
      </x:c>
      <x:c r="I41" s="7" t="s">
        <x:v>117</x:v>
      </x:c>
      <x:c r="J41" s="7" t="s">
        <x:v>24</x:v>
      </x:c>
      <x:c r="K41" s="7" t="s">
        <x:v>25</x:v>
      </x:c>
      <x:c r="L41" s="7" t="s">
        <x:v>26</x:v>
      </x:c>
      <x:c r="M41" s="7" t="s">
        <x:v>27</x:v>
      </x:c>
      <x:c r="N41" s="7" t="s">
        <x:v>28</x:v>
      </x:c>
      <x:c r="O41" s="7" t="s">
        <x:v>339</x:v>
      </x:c>
    </x:row>
    <x:row r="42" ht="15.75" customHeight="1">
      <x:c r="A42" s="7" t="s">
        <x:v>340</x:v>
      </x:c>
      <x:c r="B42" s="7" t="s">
        <x:v>341</x:v>
      </x:c>
      <x:c r="C42" s="7" t="s">
        <x:v>342</x:v>
      </x:c>
      <x:c r="D42" s="7" t="s">
        <x:v>343</x:v>
      </x:c>
      <x:c r="E42" s="7" t="s">
        <x:v>344</x:v>
      </x:c>
      <x:c r="F42" s="7" t="s">
        <x:v>124</x:v>
      </x:c>
      <x:c r="G42" s="7" t="s">
        <x:v>345</x:v>
      </x:c>
      <x:c r="H42" s="7" t="s">
        <x:v>346</x:v>
      </x:c>
      <x:c r="I42" s="7" t="s">
        <x:v>23</x:v>
      </x:c>
      <x:c r="J42" s="7" t="s">
        <x:v>24</x:v>
      </x:c>
      <x:c r="K42" s="7" t="s">
        <x:v>25</x:v>
      </x:c>
      <x:c r="L42" s="7" t="s">
        <x:v>26</x:v>
      </x:c>
      <x:c r="M42" s="7" t="s">
        <x:v>27</x:v>
      </x:c>
      <x:c r="N42" s="7" t="s">
        <x:v>28</x:v>
      </x:c>
      <x:c r="O42" s="7" t="s">
        <x:v>347</x:v>
      </x:c>
    </x:row>
    <x:row r="43" ht="15.75" customHeight="1">
      <x:c r="A43" s="7" t="s">
        <x:v>348</x:v>
      </x:c>
      <x:c r="B43" s="7" t="s">
        <x:v>341</x:v>
      </x:c>
      <x:c r="C43" s="7" t="s">
        <x:v>349</x:v>
      </x:c>
      <x:c r="D43" s="7" t="s">
        <x:v>350</x:v>
      </x:c>
      <x:c r="E43" s="7" t="s">
        <x:v>351</x:v>
      </x:c>
      <x:c r="F43" s="7" t="s">
        <x:v>124</x:v>
      </x:c>
      <x:c r="G43" s="7" t="s">
        <x:v>352</x:v>
      </x:c>
      <x:c r="H43" s="7" t="s">
        <x:v>353</x:v>
      </x:c>
      <x:c r="I43" s="7" t="s">
        <x:v>23</x:v>
      </x:c>
      <x:c r="J43" s="7" t="s">
        <x:v>241</x:v>
      </x:c>
      <x:c r="K43" s="7" t="s">
        <x:v>25</x:v>
      </x:c>
      <x:c r="L43" s="7" t="s">
        <x:v>26</x:v>
      </x:c>
      <x:c r="M43" s="7" t="s">
        <x:v>27</x:v>
      </x:c>
      <x:c r="N43" s="7" t="s">
        <x:v>28</x:v>
      </x:c>
      <x:c r="O43" s="7" t="s">
        <x:v>354</x:v>
      </x:c>
    </x:row>
    <x:row r="44" ht="15.75" customHeight="1">
      <x:c r="A44" s="10"/>
      <x:c r="B44" s="10"/>
      <x:c r="C44" s="11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 ht="15.75" customHeight="1">
      <x:c r="A45" s="7"/>
      <x:c r="B45" s="7"/>
      <x:c r="C45" s="13" t="s">
        <x:v>355</x:v>
      </x:c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13" t="s">
        <x:v>356</x:v>
      </x:c>
      <x:c r="O45" s="7"/>
    </x:row>
    <x:row r="46" ht="15.75" customHeight="1">
      <x:c r="A46" s="7" t="s">
        <x:v>357</x:v>
      </x:c>
      <x:c r="B46" s="7" t="s">
        <x:v>358</x:v>
      </x:c>
      <x:c r="C46" s="13" t="s">
        <x:v>359</x:v>
      </x:c>
      <x:c r="D46" s="7" t="s">
        <x:v>360</x:v>
      </x:c>
      <x:c r="E46" s="7" t="s">
        <x:v>361</x:v>
      </x:c>
      <x:c r="F46" s="7" t="s">
        <x:v>362</x:v>
      </x:c>
      <x:c r="G46" s="7" t="s">
        <x:v>363</x:v>
      </x:c>
      <x:c r="H46" s="7" t="s">
        <x:v>364</x:v>
      </x:c>
      <x:c r="I46" s="7" t="s">
        <x:v>23</x:v>
      </x:c>
      <x:c r="J46" s="7" t="s">
        <x:v>24</x:v>
      </x:c>
      <x:c r="K46" s="7" t="s">
        <x:v>365</x:v>
      </x:c>
      <x:c r="L46" s="7" t="s">
        <x:v>366</x:v>
      </x:c>
      <x:c r="M46" s="7" t="s">
        <x:v>367</x:v>
      </x:c>
      <x:c r="N46" s="7" t="s">
        <x:v>28</x:v>
      </x:c>
      <x:c r="O46" s="7"/>
    </x:row>
    <x:row r="47" ht="15.75" customHeight="1">
      <x:c r="A47" s="7"/>
      <x:c r="B47" s="7"/>
      <x:c r="C47" s="13" t="s">
        <x:v>368</x:v>
      </x:c>
      <x:c r="D47" s="13" t="s">
        <x:v>369</x:v>
      </x:c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</x:row>
    <x:row r="48" ht="15.75" customHeight="1">
      <x:c r="A48" s="7"/>
      <x:c r="B48" s="7"/>
      <x:c r="C48" s="13"/>
      <x:c r="D48" s="13" t="s">
        <x:v>370</x:v>
      </x:c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</x:row>
    <x:row r="49" ht="15.75" customHeight="1">
      <x:c r="A49" s="7"/>
      <x:c r="B49" s="7"/>
      <x:c r="C49" s="13"/>
      <x:c r="D49" s="13" t="s">
        <x:v>371</x:v>
      </x:c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</x:row>
    <x:row r="50" ht="15.75" customHeight="1">
      <x:c r="A50" s="7" t="s">
        <x:v>372</x:v>
      </x:c>
      <x:c r="B50" s="7" t="s">
        <x:v>373</x:v>
      </x:c>
      <x:c r="C50" s="7" t="s">
        <x:v>374</x:v>
      </x:c>
      <x:c r="D50" s="7" t="s">
        <x:v>375</x:v>
      </x:c>
      <x:c r="E50" s="7" t="s">
        <x:v>376</x:v>
      </x:c>
      <x:c r="F50" s="7" t="s">
        <x:v>124</x:v>
      </x:c>
      <x:c r="G50" s="7" t="s">
        <x:v>377</x:v>
      </x:c>
      <x:c r="H50" s="7" t="s">
        <x:v>378</x:v>
      </x:c>
      <x:c r="I50" s="7" t="s">
        <x:v>43</x:v>
      </x:c>
      <x:c r="J50" s="7" t="s">
        <x:v>24</x:v>
      </x:c>
      <x:c r="K50" s="7" t="s">
        <x:v>365</x:v>
      </x:c>
      <x:c r="L50" s="7" t="s">
        <x:v>366</x:v>
      </x:c>
      <x:c r="M50" s="7" t="s">
        <x:v>367</x:v>
      </x:c>
      <x:c r="N50" s="7" t="s">
        <x:v>28</x:v>
      </x:c>
      <x:c r="O50" s="7"/>
    </x:row>
    <x:row r="51" ht="15.75" customHeight="1">
      <x:c r="A51" s="7" t="s">
        <x:v>379</x:v>
      </x:c>
      <x:c r="B51" s="7" t="s">
        <x:v>380</x:v>
      </x:c>
      <x:c r="C51" s="7" t="s">
        <x:v>381</x:v>
      </x:c>
      <x:c r="D51" s="7" t="s">
        <x:v>382</x:v>
      </x:c>
      <x:c r="E51" s="7" t="s">
        <x:v>383</x:v>
      </x:c>
      <x:c r="F51" s="7" t="s">
        <x:v>124</x:v>
      </x:c>
      <x:c r="G51" s="7" t="s">
        <x:v>384</x:v>
      </x:c>
      <x:c r="H51" s="7" t="s">
        <x:v>385</x:v>
      </x:c>
      <x:c r="I51" s="7" t="s">
        <x:v>43</x:v>
      </x:c>
      <x:c r="J51" s="7" t="s">
        <x:v>24</x:v>
      </x:c>
      <x:c r="K51" s="7" t="s">
        <x:v>365</x:v>
      </x:c>
      <x:c r="L51" s="7" t="s">
        <x:v>366</x:v>
      </x:c>
      <x:c r="M51" s="7" t="s">
        <x:v>367</x:v>
      </x:c>
      <x:c r="N51" s="7" t="s">
        <x:v>28</x:v>
      </x:c>
      <x:c r="O51" s="7"/>
    </x:row>
    <x:row r="52" ht="15.75" customHeight="1">
      <x:c r="A52" s="7" t="s">
        <x:v>386</x:v>
      </x:c>
      <x:c r="B52" s="7" t="s">
        <x:v>387</x:v>
      </x:c>
      <x:c r="C52" s="7" t="s">
        <x:v>388</x:v>
      </x:c>
      <x:c r="D52" s="7" t="s">
        <x:v>389</x:v>
      </x:c>
      <x:c r="E52" s="7" t="s">
        <x:v>390</x:v>
      </x:c>
      <x:c r="F52" s="7" t="s">
        <x:v>362</x:v>
      </x:c>
      <x:c r="G52" s="7" t="s">
        <x:v>391</x:v>
      </x:c>
      <x:c r="H52" s="7" t="s">
        <x:v>392</x:v>
      </x:c>
      <x:c r="I52" s="7" t="s">
        <x:v>23</x:v>
      </x:c>
      <x:c r="J52" s="7" t="s">
        <x:v>24</x:v>
      </x:c>
      <x:c r="K52" s="7" t="s">
        <x:v>365</x:v>
      </x:c>
      <x:c r="L52" s="7" t="s">
        <x:v>366</x:v>
      </x:c>
      <x:c r="M52" s="7" t="s">
        <x:v>367</x:v>
      </x:c>
      <x:c r="N52" s="7" t="s">
        <x:v>28</x:v>
      </x:c>
      <x:c r="O52" s="7" t="s">
        <x:v>393</x:v>
      </x:c>
    </x:row>
    <x:row r="53" ht="15.75" customHeight="1">
      <x:c r="A53" s="7" t="s">
        <x:v>394</x:v>
      </x:c>
      <x:c r="B53" s="7" t="s">
        <x:v>395</x:v>
      </x:c>
      <x:c r="C53" s="13" t="s">
        <x:v>396</x:v>
      </x:c>
      <x:c r="D53" s="13" t="s">
        <x:v>397</x:v>
      </x:c>
      <x:c r="E53" s="13" t="s">
        <x:v>398</x:v>
      </x:c>
      <x:c r="F53" s="7" t="s">
        <x:v>362</x:v>
      </x:c>
      <x:c r="G53" s="7" t="s">
        <x:v>399</x:v>
      </x:c>
      <x:c r="H53" s="7" t="s">
        <x:v>400</x:v>
      </x:c>
      <x:c r="I53" s="7" t="s">
        <x:v>43</x:v>
      </x:c>
      <x:c r="J53" s="7" t="s">
        <x:v>24</x:v>
      </x:c>
      <x:c r="K53" s="7" t="s">
        <x:v>365</x:v>
      </x:c>
      <x:c r="L53" s="7" t="s">
        <x:v>366</x:v>
      </x:c>
      <x:c r="M53" s="7" t="s">
        <x:v>367</x:v>
      </x:c>
      <x:c r="N53" s="7" t="s">
        <x:v>28</x:v>
      </x:c>
      <x:c r="O53" s="7"/>
    </x:row>
    <x:row r="54" ht="15.75" customHeight="1">
      <x:c r="A54" s="7" t="s">
        <x:v>401</x:v>
      </x:c>
      <x:c r="B54" s="7" t="s">
        <x:v>402</x:v>
      </x:c>
      <x:c r="C54" s="7" t="s">
        <x:v>403</x:v>
      </x:c>
      <x:c r="D54" s="7" t="s">
        <x:v>404</x:v>
      </x:c>
      <x:c r="E54" s="7" t="s">
        <x:v>405</x:v>
      </x:c>
      <x:c r="F54" s="7" t="s">
        <x:v>406</x:v>
      </x:c>
      <x:c r="G54" s="7" t="s">
        <x:v>407</x:v>
      </x:c>
      <x:c r="H54" s="7" t="s">
        <x:v>408</x:v>
      </x:c>
      <x:c r="I54" s="7" t="s">
        <x:v>43</x:v>
      </x:c>
      <x:c r="J54" s="7" t="s">
        <x:v>24</x:v>
      </x:c>
      <x:c r="K54" s="7" t="s">
        <x:v>365</x:v>
      </x:c>
      <x:c r="L54" s="7" t="s">
        <x:v>366</x:v>
      </x:c>
      <x:c r="M54" s="7" t="s">
        <x:v>367</x:v>
      </x:c>
      <x:c r="N54" s="7" t="s">
        <x:v>28</x:v>
      </x:c>
      <x:c r="O54" s="7"/>
    </x:row>
    <x:row r="55" ht="15.75" customHeight="1">
      <x:c r="A55" s="7" t="s">
        <x:v>409</x:v>
      </x:c>
      <x:c r="B55" s="7" t="s">
        <x:v>410</x:v>
      </x:c>
      <x:c r="C55" s="7" t="s">
        <x:v>411</x:v>
      </x:c>
      <x:c r="D55" s="7" t="s">
        <x:v>412</x:v>
      </x:c>
      <x:c r="E55" s="7" t="s">
        <x:v>413</x:v>
      </x:c>
      <x:c r="F55" s="7" t="s">
        <x:v>124</x:v>
      </x:c>
      <x:c r="G55" s="7" t="s">
        <x:v>414</x:v>
      </x:c>
      <x:c r="H55" s="7" t="s">
        <x:v>415</x:v>
      </x:c>
      <x:c r="I55" s="7" t="s">
        <x:v>43</x:v>
      </x:c>
      <x:c r="J55" s="7" t="s">
        <x:v>24</x:v>
      </x:c>
      <x:c r="K55" s="7" t="s">
        <x:v>365</x:v>
      </x:c>
      <x:c r="L55" s="7" t="s">
        <x:v>366</x:v>
      </x:c>
      <x:c r="M55" s="7" t="s">
        <x:v>367</x:v>
      </x:c>
      <x:c r="N55" s="7" t="s">
        <x:v>28</x:v>
      </x:c>
      <x:c r="O55" s="7"/>
    </x:row>
    <x:row r="56" ht="15.75" customHeight="1">
      <x:c r="A56" s="7" t="s">
        <x:v>416</x:v>
      </x:c>
      <x:c r="B56" s="7" t="s">
        <x:v>410</x:v>
      </x:c>
      <x:c r="C56" s="7" t="s">
        <x:v>417</x:v>
      </x:c>
      <x:c r="D56" s="7" t="s">
        <x:v>418</x:v>
      </x:c>
      <x:c r="E56" s="7" t="s">
        <x:v>419</x:v>
      </x:c>
      <x:c r="F56" s="7" t="s">
        <x:v>124</x:v>
      </x:c>
      <x:c r="G56" s="7" t="s">
        <x:v>420</x:v>
      </x:c>
      <x:c r="H56" s="7" t="s">
        <x:v>421</x:v>
      </x:c>
      <x:c r="I56" s="7" t="s">
        <x:v>43</x:v>
      </x:c>
      <x:c r="J56" s="7" t="s">
        <x:v>24</x:v>
      </x:c>
      <x:c r="K56" s="7" t="s">
        <x:v>365</x:v>
      </x:c>
      <x:c r="L56" s="7" t="s">
        <x:v>366</x:v>
      </x:c>
      <x:c r="M56" s="7" t="s">
        <x:v>367</x:v>
      </x:c>
      <x:c r="N56" s="7" t="s">
        <x:v>28</x:v>
      </x:c>
      <x:c r="O56" s="7"/>
    </x:row>
    <x:row r="57" ht="15.75" customHeight="1">
      <x:c r="A57" s="7" t="s">
        <x:v>422</x:v>
      </x:c>
      <x:c r="B57" s="7" t="s">
        <x:v>423</x:v>
      </x:c>
      <x:c r="C57" s="7" t="s">
        <x:v>424</x:v>
      </x:c>
      <x:c r="D57" s="7" t="s">
        <x:v>425</x:v>
      </x:c>
      <x:c r="E57" s="7" t="s">
        <x:v>426</x:v>
      </x:c>
      <x:c r="F57" s="7" t="s">
        <x:v>124</x:v>
      </x:c>
      <x:c r="G57" s="7" t="s">
        <x:v>427</x:v>
      </x:c>
      <x:c r="H57" s="7" t="s">
        <x:v>428</x:v>
      </x:c>
      <x:c r="I57" s="7" t="s">
        <x:v>23</x:v>
      </x:c>
      <x:c r="J57" s="7" t="s">
        <x:v>241</x:v>
      </x:c>
      <x:c r="K57" s="7" t="s">
        <x:v>365</x:v>
      </x:c>
      <x:c r="L57" s="7" t="s">
        <x:v>366</x:v>
      </x:c>
      <x:c r="M57" s="7" t="s">
        <x:v>367</x:v>
      </x:c>
      <x:c r="N57" s="7" t="s">
        <x:v>28</x:v>
      </x:c>
      <x:c r="O57" s="7"/>
    </x:row>
    <x:row r="58" ht="15.75" customHeight="1">
      <x:c r="A58" s="7" t="s">
        <x:v>429</x:v>
      </x:c>
      <x:c r="B58" s="7" t="s">
        <x:v>423</x:v>
      </x:c>
      <x:c r="C58" s="7" t="s">
        <x:v>430</x:v>
      </x:c>
      <x:c r="D58" s="7" t="s">
        <x:v>431</x:v>
      </x:c>
      <x:c r="E58" s="7" t="s">
        <x:v>432</x:v>
      </x:c>
      <x:c r="F58" s="7" t="s">
        <x:v>433</x:v>
      </x:c>
      <x:c r="G58" s="7" t="s">
        <x:v>434</x:v>
      </x:c>
      <x:c r="H58" s="7" t="s">
        <x:v>435</x:v>
      </x:c>
      <x:c r="I58" s="7" t="s">
        <x:v>23</x:v>
      </x:c>
      <x:c r="J58" s="7" t="s">
        <x:v>241</x:v>
      </x:c>
      <x:c r="K58" s="7" t="s">
        <x:v>365</x:v>
      </x:c>
      <x:c r="L58" s="7" t="s">
        <x:v>366</x:v>
      </x:c>
      <x:c r="M58" s="7" t="s">
        <x:v>367</x:v>
      </x:c>
      <x:c r="N58" s="7" t="s">
        <x:v>28</x:v>
      </x:c>
      <x:c r="O58" s="7"/>
    </x:row>
    <x:row r="59" ht="15.75" customHeight="1">
      <x:c r="A59" s="7" t="s">
        <x:v>436</x:v>
      </x:c>
      <x:c r="B59" s="7" t="s">
        <x:v>423</x:v>
      </x:c>
      <x:c r="C59" s="7" t="s">
        <x:v>437</x:v>
      </x:c>
      <x:c r="D59" s="7" t="s">
        <x:v>438</x:v>
      </x:c>
      <x:c r="E59" s="7" t="s">
        <x:v>439</x:v>
      </x:c>
      <x:c r="F59" s="7" t="s">
        <x:v>124</x:v>
      </x:c>
      <x:c r="G59" s="7" t="s">
        <x:v>440</x:v>
      </x:c>
      <x:c r="H59" s="7" t="s">
        <x:v>441</x:v>
      </x:c>
      <x:c r="I59" s="7" t="s">
        <x:v>23</x:v>
      </x:c>
      <x:c r="J59" s="7" t="s">
        <x:v>241</x:v>
      </x:c>
      <x:c r="K59" s="7" t="s">
        <x:v>365</x:v>
      </x:c>
      <x:c r="L59" s="7" t="s">
        <x:v>366</x:v>
      </x:c>
      <x:c r="M59" s="7" t="s">
        <x:v>367</x:v>
      </x:c>
      <x:c r="N59" s="7" t="s">
        <x:v>28</x:v>
      </x:c>
      <x:c r="O59" s="7"/>
    </x:row>
    <x:row r="60" ht="15.75" customHeight="1">
      <x:c r="A60" s="7" t="s">
        <x:v>442</x:v>
      </x:c>
      <x:c r="B60" s="7" t="s">
        <x:v>423</x:v>
      </x:c>
      <x:c r="C60" s="7" t="s">
        <x:v>443</x:v>
      </x:c>
      <x:c r="D60" s="7" t="s">
        <x:v>444</x:v>
      </x:c>
      <x:c r="E60" s="7" t="s">
        <x:v>445</x:v>
      </x:c>
      <x:c r="F60" s="7" t="s">
        <x:v>446</x:v>
      </x:c>
      <x:c r="G60" s="7" t="s">
        <x:v>447</x:v>
      </x:c>
      <x:c r="H60" s="7" t="s">
        <x:v>448</x:v>
      </x:c>
      <x:c r="I60" s="7" t="s">
        <x:v>117</x:v>
      </x:c>
      <x:c r="J60" s="7" t="s">
        <x:v>241</x:v>
      </x:c>
      <x:c r="K60" s="7" t="s">
        <x:v>365</x:v>
      </x:c>
      <x:c r="L60" s="7" t="s">
        <x:v>366</x:v>
      </x:c>
      <x:c r="M60" s="7" t="s">
        <x:v>367</x:v>
      </x:c>
      <x:c r="N60" s="7" t="s">
        <x:v>28</x:v>
      </x:c>
      <x:c r="O60" s="7" t="s">
        <x:v>449</x:v>
      </x:c>
    </x:row>
    <x:row r="61" ht="15.75" customHeight="1">
      <x:c r="A61" s="7" t="s">
        <x:v>450</x:v>
      </x:c>
      <x:c r="B61" s="7" t="s">
        <x:v>120</x:v>
      </x:c>
      <x:c r="C61" s="7" t="s">
        <x:v>451</x:v>
      </x:c>
      <x:c r="D61" s="7" t="s">
        <x:v>452</x:v>
      </x:c>
      <x:c r="E61" s="7" t="s">
        <x:v>405</x:v>
      </x:c>
      <x:c r="F61" s="7" t="s">
        <x:v>453</x:v>
      </x:c>
      <x:c r="G61" s="7" t="s">
        <x:v>454</x:v>
      </x:c>
      <x:c r="H61" s="7" t="s">
        <x:v>455</x:v>
      </x:c>
      <x:c r="I61" s="7" t="s">
        <x:v>23</x:v>
      </x:c>
      <x:c r="J61" s="7" t="s">
        <x:v>24</x:v>
      </x:c>
      <x:c r="K61" s="7" t="s">
        <x:v>365</x:v>
      </x:c>
      <x:c r="L61" s="7" t="s">
        <x:v>366</x:v>
      </x:c>
      <x:c r="M61" s="7" t="s">
        <x:v>367</x:v>
      </x:c>
      <x:c r="N61" s="7" t="s">
        <x:v>28</x:v>
      </x:c>
      <x:c r="O61" s="7"/>
    </x:row>
    <x:row r="62" ht="15.75" customHeight="1">
      <x:c r="A62" s="7" t="s">
        <x:v>456</x:v>
      </x:c>
      <x:c r="B62" s="7" t="s">
        <x:v>341</x:v>
      </x:c>
      <x:c r="C62" s="7" t="s">
        <x:v>457</x:v>
      </x:c>
      <x:c r="D62" s="7" t="s">
        <x:v>458</x:v>
      </x:c>
      <x:c r="E62" s="7" t="s">
        <x:v>459</x:v>
      </x:c>
      <x:c r="F62" s="7" t="s">
        <x:v>124</x:v>
      </x:c>
      <x:c r="G62" s="7" t="s">
        <x:v>460</x:v>
      </x:c>
      <x:c r="H62" s="7" t="s">
        <x:v>461</x:v>
      </x:c>
      <x:c r="I62" s="7" t="s">
        <x:v>23</x:v>
      </x:c>
      <x:c r="J62" s="7" t="s">
        <x:v>24</x:v>
      </x:c>
      <x:c r="K62" s="7" t="s">
        <x:v>365</x:v>
      </x:c>
      <x:c r="L62" s="7" t="s">
        <x:v>366</x:v>
      </x:c>
      <x:c r="M62" s="7" t="s">
        <x:v>367</x:v>
      </x:c>
      <x:c r="N62" s="7" t="s">
        <x:v>28</x:v>
      </x:c>
      <x:c r="O62" s="7"/>
    </x:row>
    <x:row r="63" ht="15.75" customHeight="1">
      <x:c r="A63" s="7" t="s">
        <x:v>462</x:v>
      </x:c>
      <x:c r="B63" s="7" t="s">
        <x:v>463</x:v>
      </x:c>
      <x:c r="C63" s="7" t="s">
        <x:v>464</x:v>
      </x:c>
      <x:c r="D63" s="7" t="s">
        <x:v>465</x:v>
      </x:c>
      <x:c r="E63" s="7" t="s">
        <x:v>466</x:v>
      </x:c>
      <x:c r="F63" s="7" t="s">
        <x:v>124</x:v>
      </x:c>
      <x:c r="G63" s="7" t="s">
        <x:v>467</x:v>
      </x:c>
      <x:c r="H63" s="7" t="s">
        <x:v>468</x:v>
      </x:c>
      <x:c r="I63" s="7" t="s">
        <x:v>23</x:v>
      </x:c>
      <x:c r="J63" s="7" t="s">
        <x:v>469</x:v>
      </x:c>
      <x:c r="K63" s="7" t="s">
        <x:v>365</x:v>
      </x:c>
      <x:c r="L63" s="7" t="s">
        <x:v>366</x:v>
      </x:c>
      <x:c r="M63" s="7" t="s">
        <x:v>367</x:v>
      </x:c>
      <x:c r="N63" s="7" t="s">
        <x:v>28</x:v>
      </x:c>
      <x:c r="O63" s="7"/>
    </x:row>
    <x:row r="64" ht="15.75" customHeight="1">
      <x:c r="A64" s="7" t="s">
        <x:v>470</x:v>
      </x:c>
      <x:c r="B64" s="7" t="s">
        <x:v>16</x:v>
      </x:c>
      <x:c r="C64" s="7" t="s">
        <x:v>471</x:v>
      </x:c>
      <x:c r="D64" s="7" t="s">
        <x:v>472</x:v>
      </x:c>
      <x:c r="E64" s="7" t="s">
        <x:v>459</x:v>
      </x:c>
      <x:c r="F64" s="7" t="s">
        <x:v>124</x:v>
      </x:c>
      <x:c r="G64" s="7" t="s">
        <x:v>473</x:v>
      </x:c>
      <x:c r="H64" s="7" t="s">
        <x:v>474</x:v>
      </x:c>
      <x:c r="I64" s="7" t="s">
        <x:v>23</x:v>
      </x:c>
      <x:c r="J64" s="7" t="s">
        <x:v>24</x:v>
      </x:c>
      <x:c r="K64" s="7" t="s">
        <x:v>365</x:v>
      </x:c>
      <x:c r="L64" s="7" t="s">
        <x:v>366</x:v>
      </x:c>
      <x:c r="M64" s="7" t="s">
        <x:v>367</x:v>
      </x:c>
      <x:c r="N64" s="7" t="s">
        <x:v>28</x:v>
      </x:c>
      <x:c r="O64" s="7"/>
    </x:row>
    <x:row r="65" ht="15.75" customHeight="1">
      <x:c r="A65" s="7" t="s">
        <x:v>475</x:v>
      </x:c>
      <x:c r="B65" s="7" t="s">
        <x:v>16</x:v>
      </x:c>
      <x:c r="C65" s="7" t="s">
        <x:v>476</x:v>
      </x:c>
      <x:c r="D65" s="7" t="s">
        <x:v>477</x:v>
      </x:c>
      <x:c r="E65" s="7" t="s">
        <x:v>459</x:v>
      </x:c>
      <x:c r="F65" s="7" t="s">
        <x:v>478</x:v>
      </x:c>
      <x:c r="G65" s="7" t="s">
        <x:v>479</x:v>
      </x:c>
      <x:c r="H65" s="7" t="s">
        <x:v>480</x:v>
      </x:c>
      <x:c r="I65" s="7" t="s">
        <x:v>23</x:v>
      </x:c>
      <x:c r="J65" s="7" t="s">
        <x:v>51</x:v>
      </x:c>
      <x:c r="K65" s="7" t="s">
        <x:v>365</x:v>
      </x:c>
      <x:c r="L65" s="7" t="s">
        <x:v>366</x:v>
      </x:c>
      <x:c r="M65" s="7" t="s">
        <x:v>367</x:v>
      </x:c>
      <x:c r="N65" s="7" t="s">
        <x:v>28</x:v>
      </x:c>
      <x:c r="O65" s="7"/>
    </x:row>
    <x:row r="66" ht="15.75" customHeight="1">
      <x:c r="A66" s="7" t="s">
        <x:v>481</x:v>
      </x:c>
      <x:c r="B66" s="7" t="s">
        <x:v>87</x:v>
      </x:c>
      <x:c r="C66" s="7" t="s">
        <x:v>482</x:v>
      </x:c>
      <x:c r="D66" s="7" t="s">
        <x:v>483</x:v>
      </x:c>
      <x:c r="E66" s="7" t="s">
        <x:v>484</x:v>
      </x:c>
      <x:c r="F66" s="7" t="s">
        <x:v>124</x:v>
      </x:c>
      <x:c r="G66" s="7" t="s">
        <x:v>485</x:v>
      </x:c>
      <x:c r="H66" s="7" t="s">
        <x:v>486</x:v>
      </x:c>
      <x:c r="I66" s="7" t="s">
        <x:v>23</x:v>
      </x:c>
      <x:c r="J66" s="7" t="s">
        <x:v>61</x:v>
      </x:c>
      <x:c r="K66" s="7" t="s">
        <x:v>365</x:v>
      </x:c>
      <x:c r="L66" s="7" t="s">
        <x:v>366</x:v>
      </x:c>
      <x:c r="M66" s="7" t="s">
        <x:v>367</x:v>
      </x:c>
      <x:c r="N66" s="7" t="s">
        <x:v>28</x:v>
      </x:c>
      <x:c r="O66" s="7"/>
    </x:row>
    <x:row r="67" ht="15.75" customHeight="1">
      <x:c r="A67" s="7" t="s">
        <x:v>487</x:v>
      </x:c>
      <x:c r="B67" s="7" t="s">
        <x:v>129</x:v>
      </x:c>
      <x:c r="C67" s="7" t="s">
        <x:v>488</x:v>
      </x:c>
      <x:c r="D67" s="7" t="s">
        <x:v>489</x:v>
      </x:c>
      <x:c r="E67" s="7" t="s">
        <x:v>490</x:v>
      </x:c>
      <x:c r="F67" s="7" t="s">
        <x:v>124</x:v>
      </x:c>
      <x:c r="G67" s="7" t="s">
        <x:v>491</x:v>
      </x:c>
      <x:c r="H67" s="7" t="s">
        <x:v>492</x:v>
      </x:c>
      <x:c r="I67" s="7" t="s">
        <x:v>23</x:v>
      </x:c>
      <x:c r="J67" s="7" t="s">
        <x:v>24</x:v>
      </x:c>
      <x:c r="K67" s="7" t="s">
        <x:v>365</x:v>
      </x:c>
      <x:c r="L67" s="7" t="s">
        <x:v>366</x:v>
      </x:c>
      <x:c r="M67" s="7" t="s">
        <x:v>367</x:v>
      </x:c>
      <x:c r="N67" s="7" t="s">
        <x:v>28</x:v>
      </x:c>
      <x:c r="O67" s="7"/>
    </x:row>
    <x:row r="68" ht="15.75" customHeight="1">
      <x:c r="A68" s="7" t="s">
        <x:v>493</x:v>
      </x:c>
      <x:c r="B68" s="7" t="s">
        <x:v>494</x:v>
      </x:c>
      <x:c r="C68" s="7" t="s">
        <x:v>495</x:v>
      </x:c>
      <x:c r="D68" s="7" t="s">
        <x:v>496</x:v>
      </x:c>
      <x:c r="E68" s="7" t="s">
        <x:v>497</x:v>
      </x:c>
      <x:c r="F68" s="7" t="s">
        <x:v>124</x:v>
      </x:c>
      <x:c r="G68" s="7" t="s">
        <x:v>498</x:v>
      </x:c>
      <x:c r="H68" s="7" t="s">
        <x:v>499</x:v>
      </x:c>
      <x:c r="I68" s="7" t="s">
        <x:v>23</x:v>
      </x:c>
      <x:c r="J68" s="7" t="s">
        <x:v>24</x:v>
      </x:c>
      <x:c r="K68" s="7" t="s">
        <x:v>365</x:v>
      </x:c>
      <x:c r="L68" s="7" t="s">
        <x:v>366</x:v>
      </x:c>
      <x:c r="M68" s="7" t="s">
        <x:v>367</x:v>
      </x:c>
      <x:c r="N68" s="7" t="s">
        <x:v>28</x:v>
      </x:c>
      <x:c r="O68" s="7"/>
    </x:row>
    <x:row r="69" ht="15.75" customHeight="1">
      <x:c r="A69" s="7" t="s">
        <x:v>500</x:v>
      </x:c>
      <x:c r="B69" s="7" t="s">
        <x:v>501</x:v>
      </x:c>
      <x:c r="C69" s="7" t="s">
        <x:v>502</x:v>
      </x:c>
      <x:c r="D69" s="7" t="s">
        <x:v>503</x:v>
      </x:c>
      <x:c r="E69" s="7" t="s">
        <x:v>504</x:v>
      </x:c>
      <x:c r="F69" s="7" t="s">
        <x:v>124</x:v>
      </x:c>
      <x:c r="G69" s="7" t="s">
        <x:v>505</x:v>
      </x:c>
      <x:c r="H69" s="7" t="s">
        <x:v>506</x:v>
      </x:c>
      <x:c r="I69" s="7" t="s">
        <x:v>43</x:v>
      </x:c>
      <x:c r="J69" s="7" t="s">
        <x:v>24</x:v>
      </x:c>
      <x:c r="K69" s="7" t="s">
        <x:v>365</x:v>
      </x:c>
      <x:c r="L69" s="7" t="s">
        <x:v>366</x:v>
      </x:c>
      <x:c r="M69" s="7" t="s">
        <x:v>367</x:v>
      </x:c>
      <x:c r="N69" s="7" t="s">
        <x:v>28</x:v>
      </x:c>
      <x:c r="O69" s="7"/>
    </x:row>
    <x:row r="70" ht="15.75" customHeight="1">
      <x:c r="A70" s="7" t="s">
        <x:v>507</x:v>
      </x:c>
      <x:c r="B70" s="7" t="s">
        <x:v>96</x:v>
      </x:c>
      <x:c r="C70" s="7" t="s">
        <x:v>508</x:v>
      </x:c>
      <x:c r="D70" s="7" t="s">
        <x:v>509</x:v>
      </x:c>
      <x:c r="E70" s="7" t="s">
        <x:v>510</x:v>
      </x:c>
      <x:c r="F70" s="7" t="s">
        <x:v>124</x:v>
      </x:c>
      <x:c r="G70" s="7" t="s">
        <x:v>511</x:v>
      </x:c>
      <x:c r="H70" s="7" t="s">
        <x:v>512</x:v>
      </x:c>
      <x:c r="I70" s="7" t="s">
        <x:v>23</x:v>
      </x:c>
      <x:c r="J70" s="7" t="s">
        <x:v>51</x:v>
      </x:c>
      <x:c r="K70" s="7" t="s">
        <x:v>365</x:v>
      </x:c>
      <x:c r="L70" s="7" t="s">
        <x:v>366</x:v>
      </x:c>
      <x:c r="M70" s="7" t="s">
        <x:v>367</x:v>
      </x:c>
      <x:c r="N70" s="7" t="s">
        <x:v>28</x:v>
      </x:c>
      <x:c r="O70" s="7"/>
    </x:row>
    <x:row r="71" ht="15.75" customHeight="1">
      <x:c r="A71" s="7" t="s">
        <x:v>513</x:v>
      </x:c>
      <x:c r="B71" s="7" t="s">
        <x:v>196</x:v>
      </x:c>
      <x:c r="C71" s="7" t="s">
        <x:v>514</x:v>
      </x:c>
      <x:c r="D71" s="7" t="s">
        <x:v>515</x:v>
      </x:c>
      <x:c r="E71" s="7" t="s">
        <x:v>516</x:v>
      </x:c>
      <x:c r="F71" s="7" t="s">
        <x:v>517</x:v>
      </x:c>
      <x:c r="G71" s="7" t="s">
        <x:v>518</x:v>
      </x:c>
      <x:c r="H71" s="7" t="s">
        <x:v>519</x:v>
      </x:c>
      <x:c r="I71" s="7" t="s">
        <x:v>23</x:v>
      </x:c>
      <x:c r="J71" s="7" t="s">
        <x:v>24</x:v>
      </x:c>
      <x:c r="K71" s="7" t="s">
        <x:v>365</x:v>
      </x:c>
      <x:c r="L71" s="7" t="s">
        <x:v>366</x:v>
      </x:c>
      <x:c r="M71" s="7" t="s">
        <x:v>367</x:v>
      </x:c>
      <x:c r="N71" s="7" t="s">
        <x:v>28</x:v>
      </x:c>
      <x:c r="O71" s="7"/>
    </x:row>
    <x:row r="72" ht="15.75" customHeight="1">
      <x:c r="A72" s="7" t="s">
        <x:v>520</x:v>
      </x:c>
      <x:c r="B72" s="7" t="s">
        <x:v>521</x:v>
      </x:c>
      <x:c r="C72" s="7" t="s">
        <x:v>522</x:v>
      </x:c>
      <x:c r="D72" s="7" t="s">
        <x:v>523</x:v>
      </x:c>
      <x:c r="E72" s="7" t="s">
        <x:v>524</x:v>
      </x:c>
      <x:c r="F72" s="7" t="s">
        <x:v>525</x:v>
      </x:c>
      <x:c r="G72" s="7" t="s">
        <x:v>526</x:v>
      </x:c>
      <x:c r="H72" s="7" t="s">
        <x:v>527</x:v>
      </x:c>
      <x:c r="I72" s="7" t="s">
        <x:v>23</x:v>
      </x:c>
      <x:c r="J72" s="7" t="s">
        <x:v>241</x:v>
      </x:c>
      <x:c r="K72" s="7" t="s">
        <x:v>365</x:v>
      </x:c>
      <x:c r="L72" s="7" t="s">
        <x:v>366</x:v>
      </x:c>
      <x:c r="M72" s="7" t="s">
        <x:v>367</x:v>
      </x:c>
      <x:c r="N72" s="7" t="s">
        <x:v>28</x:v>
      </x:c>
      <x:c r="O72" s="7" t="s">
        <x:v>528</x:v>
      </x:c>
    </x:row>
    <x:row r="73" ht="15.75" customHeight="1">
      <x:c r="A73" s="7" t="s">
        <x:v>529</x:v>
      </x:c>
      <x:c r="B73" s="7" t="s">
        <x:v>284</x:v>
      </x:c>
      <x:c r="C73" s="7" t="s">
        <x:v>285</x:v>
      </x:c>
      <x:c r="D73" s="7" t="s">
        <x:v>286</x:v>
      </x:c>
      <x:c r="E73" s="7" t="s">
        <x:v>530</x:v>
      </x:c>
      <x:c r="F73" s="7" t="s">
        <x:v>124</x:v>
      </x:c>
      <x:c r="G73" s="7" t="s">
        <x:v>531</x:v>
      </x:c>
      <x:c r="H73" s="7" t="s">
        <x:v>532</x:v>
      </x:c>
      <x:c r="I73" s="7" t="s">
        <x:v>23</x:v>
      </x:c>
      <x:c r="J73" s="7" t="s">
        <x:v>241</x:v>
      </x:c>
      <x:c r="K73" s="7" t="s">
        <x:v>365</x:v>
      </x:c>
      <x:c r="L73" s="7" t="s">
        <x:v>366</x:v>
      </x:c>
      <x:c r="M73" s="7" t="s">
        <x:v>367</x:v>
      </x:c>
      <x:c r="N73" s="7" t="s">
        <x:v>28</x:v>
      </x:c>
      <x:c r="O73" s="7"/>
    </x:row>
    <x:row r="74" ht="15.75" customHeight="1">
      <x:c r="A74" s="7" t="s">
        <x:v>533</x:v>
      </x:c>
      <x:c r="B74" s="7" t="s">
        <x:v>534</x:v>
      </x:c>
      <x:c r="C74" s="7" t="s">
        <x:v>535</x:v>
      </x:c>
      <x:c r="D74" s="7" t="s">
        <x:v>536</x:v>
      </x:c>
      <x:c r="E74" s="7" t="s">
        <x:v>537</x:v>
      </x:c>
      <x:c r="F74" s="7" t="s">
        <x:v>124</x:v>
      </x:c>
      <x:c r="G74" s="7" t="s">
        <x:v>538</x:v>
      </x:c>
      <x:c r="H74" s="7" t="s">
        <x:v>539</x:v>
      </x:c>
      <x:c r="I74" s="7" t="s">
        <x:v>23</x:v>
      </x:c>
      <x:c r="J74" s="7" t="s">
        <x:v>241</x:v>
      </x:c>
      <x:c r="K74" s="7" t="s">
        <x:v>365</x:v>
      </x:c>
      <x:c r="L74" s="7" t="s">
        <x:v>366</x:v>
      </x:c>
      <x:c r="M74" s="7" t="s">
        <x:v>367</x:v>
      </x:c>
      <x:c r="N74" s="7" t="s">
        <x:v>28</x:v>
      </x:c>
      <x:c r="O74" s="7" t="s">
        <x:v>540</x:v>
      </x:c>
    </x:row>
    <x:row r="75" ht="15.75" customHeight="1">
      <x:c r="A75" s="7" t="s">
        <x:v>541</x:v>
      </x:c>
      <x:c r="B75" s="7" t="s">
        <x:v>542</x:v>
      </x:c>
      <x:c r="C75" s="7" t="s">
        <x:v>543</x:v>
      </x:c>
      <x:c r="D75" s="7" t="s">
        <x:v>544</x:v>
      </x:c>
      <x:c r="E75" s="7" t="s">
        <x:v>545</x:v>
      </x:c>
      <x:c r="F75" s="7" t="s">
        <x:v>478</x:v>
      </x:c>
      <x:c r="G75" s="7" t="s">
        <x:v>546</x:v>
      </x:c>
      <x:c r="H75" s="7" t="s">
        <x:v>547</x:v>
      </x:c>
      <x:c r="I75" s="7" t="s">
        <x:v>23</x:v>
      </x:c>
      <x:c r="J75" s="7" t="s">
        <x:v>469</x:v>
      </x:c>
      <x:c r="K75" s="7" t="s">
        <x:v>365</x:v>
      </x:c>
      <x:c r="L75" s="7" t="s">
        <x:v>366</x:v>
      </x:c>
      <x:c r="M75" s="7" t="s">
        <x:v>367</x:v>
      </x:c>
      <x:c r="N75" s="7" t="s">
        <x:v>28</x:v>
      </x:c>
      <x:c r="O75" s="7"/>
    </x:row>
    <x:row r="76" ht="15.75" customHeight="1">
      <x:c r="A76" s="7" t="s">
        <x:v>548</x:v>
      </x:c>
      <x:c r="B76" s="7" t="s">
        <x:v>549</x:v>
      </x:c>
      <x:c r="C76" s="7" t="s">
        <x:v>550</x:v>
      </x:c>
      <x:c r="D76" s="7" t="s">
        <x:v>551</x:v>
      </x:c>
      <x:c r="E76" s="7" t="s">
        <x:v>552</x:v>
      </x:c>
      <x:c r="F76" s="7" t="s">
        <x:v>124</x:v>
      </x:c>
      <x:c r="G76" s="7" t="s">
        <x:v>553</x:v>
      </x:c>
      <x:c r="H76" s="7" t="s">
        <x:v>554</x:v>
      </x:c>
      <x:c r="I76" s="7" t="s">
        <x:v>43</x:v>
      </x:c>
      <x:c r="J76" s="7" t="s">
        <x:v>469</x:v>
      </x:c>
      <x:c r="K76" s="7" t="s">
        <x:v>365</x:v>
      </x:c>
      <x:c r="L76" s="7" t="s">
        <x:v>366</x:v>
      </x:c>
      <x:c r="M76" s="7" t="s">
        <x:v>367</x:v>
      </x:c>
      <x:c r="N76" s="7" t="s">
        <x:v>28</x:v>
      </x:c>
      <x:c r="O76" s="7"/>
    </x:row>
    <x:row r="77" ht="15.75" customHeight="1">
      <x:c r="A77" s="7" t="s">
        <x:v>555</x:v>
      </x:c>
      <x:c r="B77" s="7" t="s">
        <x:v>556</x:v>
      </x:c>
      <x:c r="C77" s="7" t="s">
        <x:v>557</x:v>
      </x:c>
      <x:c r="D77" s="7" t="s">
        <x:v>558</x:v>
      </x:c>
      <x:c r="E77" s="7" t="s">
        <x:v>559</x:v>
      </x:c>
      <x:c r="F77" s="7" t="s">
        <x:v>124</x:v>
      </x:c>
      <x:c r="G77" s="7" t="s">
        <x:v>560</x:v>
      </x:c>
      <x:c r="H77" s="7" t="s">
        <x:v>561</x:v>
      </x:c>
      <x:c r="I77" s="7" t="s">
        <x:v>43</x:v>
      </x:c>
      <x:c r="J77" s="7" t="s">
        <x:v>24</x:v>
      </x:c>
      <x:c r="K77" s="7" t="s">
        <x:v>365</x:v>
      </x:c>
      <x:c r="L77" s="7" t="s">
        <x:v>366</x:v>
      </x:c>
      <x:c r="M77" s="7" t="s">
        <x:v>367</x:v>
      </x:c>
      <x:c r="N77" s="7" t="s">
        <x:v>28</x:v>
      </x:c>
      <x:c r="O77" s="7"/>
    </x:row>
    <x:row r="78" ht="15.75" customHeight="1">
      <x:c r="A78" s="7" t="s">
        <x:v>562</x:v>
      </x:c>
      <x:c r="B78" s="7" t="s">
        <x:v>563</x:v>
      </x:c>
      <x:c r="C78" s="7" t="s">
        <x:v>564</x:v>
      </x:c>
      <x:c r="D78" s="7" t="s">
        <x:v>565</x:v>
      </x:c>
      <x:c r="E78" s="7" t="s">
        <x:v>566</x:v>
      </x:c>
      <x:c r="F78" s="7" t="s">
        <x:v>362</x:v>
      </x:c>
      <x:c r="G78" s="7" t="s">
        <x:v>567</x:v>
      </x:c>
      <x:c r="H78" s="7" t="s">
        <x:v>568</x:v>
      </x:c>
      <x:c r="I78" s="7" t="s">
        <x:v>23</x:v>
      </x:c>
      <x:c r="J78" s="7" t="s">
        <x:v>24</x:v>
      </x:c>
      <x:c r="K78" s="7" t="s">
        <x:v>365</x:v>
      </x:c>
      <x:c r="L78" s="7" t="s">
        <x:v>366</x:v>
      </x:c>
      <x:c r="M78" s="7" t="s">
        <x:v>367</x:v>
      </x:c>
      <x:c r="N78" s="7" t="s">
        <x:v>28</x:v>
      </x:c>
      <x:c r="O78" s="7"/>
    </x:row>
    <x:row r="79" ht="15.75" customHeight="1">
      <x:c r="A79" s="7" t="s">
        <x:v>569</x:v>
      </x:c>
      <x:c r="B79" s="7" t="s">
        <x:v>570</x:v>
      </x:c>
      <x:c r="C79" s="7" t="s">
        <x:v>571</x:v>
      </x:c>
      <x:c r="D79" s="7" t="s">
        <x:v>572</x:v>
      </x:c>
      <x:c r="E79" s="7" t="s">
        <x:v>573</x:v>
      </x:c>
      <x:c r="F79" s="7" t="s">
        <x:v>124</x:v>
      </x:c>
      <x:c r="G79" s="7" t="s">
        <x:v>574</x:v>
      </x:c>
      <x:c r="H79" s="7" t="s">
        <x:v>575</x:v>
      </x:c>
      <x:c r="I79" s="7" t="s">
        <x:v>23</x:v>
      </x:c>
      <x:c r="J79" s="7" t="s">
        <x:v>24</x:v>
      </x:c>
      <x:c r="K79" s="7" t="s">
        <x:v>365</x:v>
      </x:c>
      <x:c r="L79" s="7" t="s">
        <x:v>366</x:v>
      </x:c>
      <x:c r="M79" s="7" t="s">
        <x:v>367</x:v>
      </x:c>
      <x:c r="N79" s="7" t="s">
        <x:v>28</x:v>
      </x:c>
      <x:c r="O79" s="7"/>
    </x:row>
    <x:row r="80" ht="15.75" customHeight="1">
      <x:c r="A80" s="7" t="s">
        <x:v>576</x:v>
      </x:c>
      <x:c r="B80" s="7" t="s">
        <x:v>577</x:v>
      </x:c>
      <x:c r="C80" s="7" t="s">
        <x:v>578</x:v>
      </x:c>
      <x:c r="D80" s="7" t="s">
        <x:v>579</x:v>
      </x:c>
      <x:c r="E80" s="7" t="s">
        <x:v>580</x:v>
      </x:c>
      <x:c r="F80" s="7" t="s">
        <x:v>581</x:v>
      </x:c>
      <x:c r="G80" s="7" t="s">
        <x:v>582</x:v>
      </x:c>
      <x:c r="H80" s="7" t="s">
        <x:v>583</x:v>
      </x:c>
      <x:c r="I80" s="7" t="s">
        <x:v>23</x:v>
      </x:c>
      <x:c r="J80" s="7" t="s">
        <x:v>24</x:v>
      </x:c>
      <x:c r="K80" s="7" t="s">
        <x:v>365</x:v>
      </x:c>
      <x:c r="L80" s="7" t="s">
        <x:v>366</x:v>
      </x:c>
      <x:c r="M80" s="7" t="s">
        <x:v>367</x:v>
      </x:c>
      <x:c r="N80" s="7" t="s">
        <x:v>28</x:v>
      </x:c>
      <x:c r="O80" s="7" t="s">
        <x:v>584</x:v>
      </x:c>
    </x:row>
    <x:row r="81" ht="15.75" customHeight="1">
      <x:c r="A81" s="7" t="s">
        <x:v>585</x:v>
      </x:c>
      <x:c r="B81" s="7" t="s">
        <x:v>577</x:v>
      </x:c>
      <x:c r="C81" s="7" t="s">
        <x:v>586</x:v>
      </x:c>
      <x:c r="D81" s="7" t="s">
        <x:v>587</x:v>
      </x:c>
      <x:c r="E81" s="7" t="s">
        <x:v>588</x:v>
      </x:c>
      <x:c r="F81" s="7" t="s">
        <x:v>124</x:v>
      </x:c>
      <x:c r="G81" s="7" t="s">
        <x:v>589</x:v>
      </x:c>
      <x:c r="H81" s="7" t="s">
        <x:v>590</x:v>
      </x:c>
      <x:c r="I81" s="7" t="s">
        <x:v>117</x:v>
      </x:c>
      <x:c r="J81" s="7" t="s">
        <x:v>51</x:v>
      </x:c>
      <x:c r="K81" s="7" t="s">
        <x:v>365</x:v>
      </x:c>
      <x:c r="L81" s="7" t="s">
        <x:v>366</x:v>
      </x:c>
      <x:c r="M81" s="7" t="s">
        <x:v>367</x:v>
      </x:c>
      <x:c r="N81" s="7" t="s">
        <x:v>28</x:v>
      </x:c>
      <x:c r="O81" s="7" t="s">
        <x:v>591</x:v>
      </x:c>
    </x:row>
    <x:row r="82" ht="15.75" customHeight="1">
      <x:c r="A82" s="7" t="s">
        <x:v>592</x:v>
      </x:c>
      <x:c r="B82" s="7" t="s">
        <x:v>593</x:v>
      </x:c>
      <x:c r="C82" s="7" t="s">
        <x:v>594</x:v>
      </x:c>
      <x:c r="D82" s="7" t="s">
        <x:v>595</x:v>
      </x:c>
      <x:c r="E82" s="7" t="s">
        <x:v>596</x:v>
      </x:c>
      <x:c r="F82" s="7" t="s">
        <x:v>597</x:v>
      </x:c>
      <x:c r="G82" s="7" t="s">
        <x:v>598</x:v>
      </x:c>
      <x:c r="H82" s="7" t="s">
        <x:v>599</x:v>
      </x:c>
      <x:c r="I82" s="7" t="s">
        <x:v>23</x:v>
      </x:c>
      <x:c r="J82" s="7" t="s">
        <x:v>24</x:v>
      </x:c>
      <x:c r="K82" s="7" t="s">
        <x:v>365</x:v>
      </x:c>
      <x:c r="L82" s="7" t="s">
        <x:v>366</x:v>
      </x:c>
      <x:c r="M82" s="7" t="s">
        <x:v>367</x:v>
      </x:c>
      <x:c r="N82" s="7" t="s">
        <x:v>28</x:v>
      </x:c>
      <x:c r="O82" s="7"/>
    </x:row>
    <x:row r="83" ht="15.75" customHeight="1">
      <x:c r="A83" s="7" t="s">
        <x:v>600</x:v>
      </x:c>
      <x:c r="B83" s="7" t="s">
        <x:v>601</x:v>
      </x:c>
      <x:c r="C83" s="7" t="s">
        <x:v>602</x:v>
      </x:c>
      <x:c r="D83" s="7" t="s">
        <x:v>603</x:v>
      </x:c>
      <x:c r="E83" s="7" t="s">
        <x:v>604</x:v>
      </x:c>
      <x:c r="F83" s="7" t="s">
        <x:v>605</x:v>
      </x:c>
      <x:c r="G83" s="7" t="s">
        <x:v>606</x:v>
      </x:c>
      <x:c r="H83" s="7" t="s">
        <x:v>607</x:v>
      </x:c>
      <x:c r="I83" s="7" t="s">
        <x:v>23</x:v>
      </x:c>
      <x:c r="J83" s="7" t="s">
        <x:v>24</x:v>
      </x:c>
      <x:c r="K83" s="7" t="s">
        <x:v>365</x:v>
      </x:c>
      <x:c r="L83" s="7" t="s">
        <x:v>366</x:v>
      </x:c>
      <x:c r="M83" s="7" t="s">
        <x:v>367</x:v>
      </x:c>
      <x:c r="N83" s="7" t="s">
        <x:v>28</x:v>
      </x:c>
      <x:c r="O83" s="7"/>
    </x:row>
    <x:row r="84" ht="15.75" customHeight="1">
      <x:c r="A84" s="7" t="s">
        <x:v>608</x:v>
      </x:c>
      <x:c r="B84" s="7" t="s">
        <x:v>609</x:v>
      </x:c>
      <x:c r="C84" s="7" t="s">
        <x:v>610</x:v>
      </x:c>
      <x:c r="D84" s="7" t="s">
        <x:v>611</x:v>
      </x:c>
      <x:c r="E84" s="7" t="s">
        <x:v>612</x:v>
      </x:c>
      <x:c r="F84" s="7" t="s">
        <x:v>613</x:v>
      </x:c>
      <x:c r="G84" s="7" t="s">
        <x:v>614</x:v>
      </x:c>
      <x:c r="H84" s="7" t="s">
        <x:v>615</x:v>
      </x:c>
      <x:c r="I84" s="7" t="s">
        <x:v>23</x:v>
      </x:c>
      <x:c r="J84" s="7" t="s">
        <x:v>616</x:v>
      </x:c>
      <x:c r="K84" s="7" t="s">
        <x:v>365</x:v>
      </x:c>
      <x:c r="L84" s="7" t="s">
        <x:v>366</x:v>
      </x:c>
      <x:c r="M84" s="7" t="s">
        <x:v>367</x:v>
      </x:c>
      <x:c r="N84" s="7" t="s">
        <x:v>28</x:v>
      </x:c>
      <x:c r="O84" s="7"/>
    </x:row>
    <x:row r="85" ht="15.75" customHeight="1">
      <x:c r="A85" s="7" t="s">
        <x:v>617</x:v>
      </x:c>
      <x:c r="B85" s="7" t="s">
        <x:v>618</x:v>
      </x:c>
      <x:c r="C85" s="7" t="s">
        <x:v>619</x:v>
      </x:c>
      <x:c r="D85" s="7" t="s">
        <x:v>620</x:v>
      </x:c>
      <x:c r="E85" s="7" t="s">
        <x:v>621</x:v>
      </x:c>
      <x:c r="F85" s="7" t="s">
        <x:v>124</x:v>
      </x:c>
      <x:c r="G85" s="7" t="s">
        <x:v>427</x:v>
      </x:c>
      <x:c r="H85" s="7" t="s">
        <x:v>622</x:v>
      </x:c>
      <x:c r="I85" s="7" t="s">
        <x:v>23</x:v>
      </x:c>
      <x:c r="J85" s="7" t="s">
        <x:v>241</x:v>
      </x:c>
      <x:c r="K85" s="7" t="s">
        <x:v>365</x:v>
      </x:c>
      <x:c r="L85" s="7" t="s">
        <x:v>366</x:v>
      </x:c>
      <x:c r="M85" s="7" t="s">
        <x:v>367</x:v>
      </x:c>
      <x:c r="N85" s="7" t="s">
        <x:v>28</x:v>
      </x:c>
      <x:c r="O85" s="7"/>
    </x:row>
    <x:row r="86" ht="15.75" customHeight="1">
      <x:c r="A86" s="7" t="s">
        <x:v>623</x:v>
      </x:c>
      <x:c r="B86" s="7" t="s">
        <x:v>624</x:v>
      </x:c>
      <x:c r="C86" s="7" t="s">
        <x:v>625</x:v>
      </x:c>
      <x:c r="D86" s="7" t="s">
        <x:v>626</x:v>
      </x:c>
      <x:c r="E86" s="7" t="s">
        <x:v>627</x:v>
      </x:c>
      <x:c r="F86" s="7" t="s">
        <x:v>628</x:v>
      </x:c>
      <x:c r="G86" s="7" t="s">
        <x:v>629</x:v>
      </x:c>
      <x:c r="H86" s="7" t="s">
        <x:v>630</x:v>
      </x:c>
      <x:c r="I86" s="7" t="s">
        <x:v>43</x:v>
      </x:c>
      <x:c r="J86" s="7" t="s">
        <x:v>241</x:v>
      </x:c>
      <x:c r="K86" s="7" t="s">
        <x:v>365</x:v>
      </x:c>
      <x:c r="L86" s="7" t="s">
        <x:v>366</x:v>
      </x:c>
      <x:c r="M86" s="7" t="s">
        <x:v>367</x:v>
      </x:c>
      <x:c r="N86" s="7" t="s">
        <x:v>28</x:v>
      </x:c>
      <x:c r="O86" s="7" t="s">
        <x:v>631</x:v>
      </x:c>
    </x:row>
    <x:row r="87" ht="15.75" customHeight="1">
      <x:c r="A87" s="7" t="s">
        <x:v>632</x:v>
      </x:c>
      <x:c r="B87" s="7" t="s">
        <x:v>633</x:v>
      </x:c>
      <x:c r="C87" s="7" t="s">
        <x:v>634</x:v>
      </x:c>
      <x:c r="D87" s="7" t="s">
        <x:v>635</x:v>
      </x:c>
      <x:c r="E87" s="7" t="s">
        <x:v>405</x:v>
      </x:c>
      <x:c r="F87" s="7" t="s">
        <x:v>124</x:v>
      </x:c>
      <x:c r="G87" s="7" t="s">
        <x:v>636</x:v>
      </x:c>
      <x:c r="H87" s="7" t="s">
        <x:v>637</x:v>
      </x:c>
      <x:c r="I87" s="7" t="s">
        <x:v>23</x:v>
      </x:c>
      <x:c r="J87" s="7" t="s">
        <x:v>241</x:v>
      </x:c>
      <x:c r="K87" s="7" t="s">
        <x:v>365</x:v>
      </x:c>
      <x:c r="L87" s="7" t="s">
        <x:v>366</x:v>
      </x:c>
      <x:c r="M87" s="7" t="s">
        <x:v>367</x:v>
      </x:c>
      <x:c r="N87" s="7" t="s">
        <x:v>28</x:v>
      </x:c>
      <x:c r="O87" s="7"/>
    </x:row>
    <x:row r="88" ht="15.75" customHeight="1">
      <x:c r="A88" s="7" t="s">
        <x:v>638</x:v>
      </x:c>
      <x:c r="B88" s="7" t="s">
        <x:v>639</x:v>
      </x:c>
      <x:c r="C88" s="7" t="s">
        <x:v>640</x:v>
      </x:c>
      <x:c r="D88" s="7" t="s">
        <x:v>641</x:v>
      </x:c>
      <x:c r="E88" s="7" t="s">
        <x:v>642</x:v>
      </x:c>
      <x:c r="F88" s="7" t="s">
        <x:v>124</x:v>
      </x:c>
      <x:c r="G88" s="7" t="s">
        <x:v>643</x:v>
      </x:c>
      <x:c r="H88" s="7" t="s">
        <x:v>644</x:v>
      </x:c>
      <x:c r="I88" s="7" t="s">
        <x:v>43</x:v>
      </x:c>
      <x:c r="J88" s="7" t="s">
        <x:v>24</x:v>
      </x:c>
      <x:c r="K88" s="7" t="s">
        <x:v>365</x:v>
      </x:c>
      <x:c r="L88" s="7" t="s">
        <x:v>366</x:v>
      </x:c>
      <x:c r="M88" s="7" t="s">
        <x:v>367</x:v>
      </x:c>
      <x:c r="N88" s="7" t="s">
        <x:v>28</x:v>
      </x:c>
      <x:c r="O88" s="7" t="s">
        <x:v>645</x:v>
      </x:c>
    </x:row>
    <x:row r="89" ht="15.75" customHeight="1">
      <x:c r="A89" s="7" t="s">
        <x:v>646</x:v>
      </x:c>
      <x:c r="B89" s="7" t="s">
        <x:v>647</x:v>
      </x:c>
      <x:c r="C89" s="7" t="s">
        <x:v>648</x:v>
      </x:c>
      <x:c r="D89" s="7" t="s">
        <x:v>649</x:v>
      </x:c>
      <x:c r="E89" s="7" t="s">
        <x:v>650</x:v>
      </x:c>
      <x:c r="F89" s="7" t="s">
        <x:v>651</x:v>
      </x:c>
      <x:c r="G89" s="7" t="s">
        <x:v>652</x:v>
      </x:c>
      <x:c r="H89" s="7" t="s">
        <x:v>653</x:v>
      </x:c>
      <x:c r="I89" s="7" t="s">
        <x:v>43</x:v>
      </x:c>
      <x:c r="J89" s="7" t="s">
        <x:v>24</x:v>
      </x:c>
      <x:c r="K89" s="7" t="s">
        <x:v>365</x:v>
      </x:c>
      <x:c r="L89" s="7" t="s">
        <x:v>366</x:v>
      </x:c>
      <x:c r="M89" s="7" t="s">
        <x:v>367</x:v>
      </x:c>
      <x:c r="N89" s="7" t="s">
        <x:v>28</x:v>
      </x:c>
      <x:c r="O89" s="7" t="s">
        <x:v>654</x:v>
      </x:c>
    </x:row>
    <x:row r="90" ht="15.75" customHeight="1">
      <x:c r="A90" s="7" t="s">
        <x:v>655</x:v>
      </x:c>
      <x:c r="B90" s="7" t="s">
        <x:v>656</x:v>
      </x:c>
      <x:c r="C90" s="7" t="s">
        <x:v>657</x:v>
      </x:c>
      <x:c r="D90" s="7" t="s">
        <x:v>658</x:v>
      </x:c>
      <x:c r="E90" s="7" t="s">
        <x:v>659</x:v>
      </x:c>
      <x:c r="F90" s="7" t="s">
        <x:v>660</x:v>
      </x:c>
      <x:c r="G90" s="7" t="s">
        <x:v>661</x:v>
      </x:c>
      <x:c r="H90" s="7" t="s">
        <x:v>662</x:v>
      </x:c>
      <x:c r="I90" s="7" t="s">
        <x:v>43</x:v>
      </x:c>
      <x:c r="J90" s="7" t="s">
        <x:v>24</x:v>
      </x:c>
      <x:c r="K90" s="7" t="s">
        <x:v>365</x:v>
      </x:c>
      <x:c r="L90" s="7" t="s">
        <x:v>366</x:v>
      </x:c>
      <x:c r="M90" s="7" t="s">
        <x:v>367</x:v>
      </x:c>
      <x:c r="N90" s="7" t="s">
        <x:v>28</x:v>
      </x:c>
      <x:c r="O90" s="7" t="s">
        <x:v>663</x:v>
      </x:c>
    </x:row>
    <x:row r="91" ht="15.75" customHeight="1">
      <x:c r="A91" s="7" t="s">
        <x:v>664</x:v>
      </x:c>
      <x:c r="B91" s="7" t="s">
        <x:v>665</x:v>
      </x:c>
      <x:c r="C91" s="7" t="s">
        <x:v>666</x:v>
      </x:c>
      <x:c r="D91" s="7" t="s">
        <x:v>667</x:v>
      </x:c>
      <x:c r="E91" s="7" t="s">
        <x:v>668</x:v>
      </x:c>
      <x:c r="F91" s="7" t="s">
        <x:v>124</x:v>
      </x:c>
      <x:c r="G91" s="7" t="s">
        <x:v>669</x:v>
      </x:c>
      <x:c r="H91" s="7" t="s">
        <x:v>670</x:v>
      </x:c>
      <x:c r="I91" s="7" t="s">
        <x:v>43</x:v>
      </x:c>
      <x:c r="J91" s="7" t="s">
        <x:v>61</x:v>
      </x:c>
      <x:c r="K91" s="7" t="s">
        <x:v>365</x:v>
      </x:c>
      <x:c r="L91" s="7" t="s">
        <x:v>366</x:v>
      </x:c>
      <x:c r="M91" s="7" t="s">
        <x:v>367</x:v>
      </x:c>
      <x:c r="N91" s="7" t="s">
        <x:v>28</x:v>
      </x:c>
      <x:c r="O91" s="7"/>
    </x:row>
    <x:row r="92" ht="15.75" customHeight="1">
      <x:c r="A92" s="7" t="s">
        <x:v>671</x:v>
      </x:c>
      <x:c r="B92" s="7" t="s">
        <x:v>672</x:v>
      </x:c>
      <x:c r="C92" s="7" t="s">
        <x:v>673</x:v>
      </x:c>
      <x:c r="D92" s="7" t="s">
        <x:v>674</x:v>
      </x:c>
      <x:c r="E92" s="7" t="s">
        <x:v>675</x:v>
      </x:c>
      <x:c r="F92" s="7" t="s">
        <x:v>124</x:v>
      </x:c>
      <x:c r="G92" s="7" t="s">
        <x:v>676</x:v>
      </x:c>
      <x:c r="H92" s="7" t="s">
        <x:v>677</x:v>
      </x:c>
      <x:c r="I92" s="7" t="s">
        <x:v>23</x:v>
      </x:c>
      <x:c r="J92" s="7" t="s">
        <x:v>61</x:v>
      </x:c>
      <x:c r="K92" s="7" t="s">
        <x:v>365</x:v>
      </x:c>
      <x:c r="L92" s="7" t="s">
        <x:v>366</x:v>
      </x:c>
      <x:c r="M92" s="7" t="s">
        <x:v>367</x:v>
      </x:c>
      <x:c r="N92" s="7" t="s">
        <x:v>28</x:v>
      </x:c>
      <x:c r="O92" s="7"/>
    </x:row>
    <x:row r="93" ht="15.75" customHeight="1">
      <x:c r="A93" s="7" t="s">
        <x:v>678</x:v>
      </x:c>
      <x:c r="B93" s="7" t="s">
        <x:v>679</x:v>
      </x:c>
      <x:c r="C93" s="7" t="s">
        <x:v>680</x:v>
      </x:c>
      <x:c r="D93" s="7" t="s">
        <x:v>681</x:v>
      </x:c>
      <x:c r="E93" s="7" t="s">
        <x:v>682</x:v>
      </x:c>
      <x:c r="F93" s="7" t="s">
        <x:v>683</x:v>
      </x:c>
      <x:c r="G93" s="7" t="s">
        <x:v>684</x:v>
      </x:c>
      <x:c r="H93" s="7" t="s">
        <x:v>685</x:v>
      </x:c>
      <x:c r="I93" s="7" t="s">
        <x:v>23</x:v>
      </x:c>
      <x:c r="J93" s="7" t="s">
        <x:v>24</x:v>
      </x:c>
      <x:c r="K93" s="7" t="s">
        <x:v>365</x:v>
      </x:c>
      <x:c r="L93" s="7" t="s">
        <x:v>366</x:v>
      </x:c>
      <x:c r="M93" s="7" t="s">
        <x:v>367</x:v>
      </x:c>
      <x:c r="N93" s="7" t="s">
        <x:v>28</x:v>
      </x:c>
      <x:c r="O93" s="7"/>
    </x:row>
    <x:row r="94" ht="15.75" customHeight="1">
      <x:c r="A94" s="7" t="s">
        <x:v>686</x:v>
      </x:c>
      <x:c r="B94" s="7" t="s">
        <x:v>687</x:v>
      </x:c>
      <x:c r="C94" s="7" t="s">
        <x:v>688</x:v>
      </x:c>
      <x:c r="D94" s="7" t="s">
        <x:v>689</x:v>
      </x:c>
      <x:c r="E94" s="7" t="s">
        <x:v>690</x:v>
      </x:c>
      <x:c r="F94" s="7" t="s">
        <x:v>691</x:v>
      </x:c>
      <x:c r="G94" s="7" t="s">
        <x:v>692</x:v>
      </x:c>
      <x:c r="H94" s="7" t="s">
        <x:v>693</x:v>
      </x:c>
      <x:c r="I94" s="7" t="s">
        <x:v>23</x:v>
      </x:c>
      <x:c r="J94" s="7" t="s">
        <x:v>24</x:v>
      </x:c>
      <x:c r="K94" s="7" t="s">
        <x:v>365</x:v>
      </x:c>
      <x:c r="L94" s="7" t="s">
        <x:v>366</x:v>
      </x:c>
      <x:c r="M94" s="7" t="s">
        <x:v>367</x:v>
      </x:c>
      <x:c r="N94" s="7" t="s">
        <x:v>28</x:v>
      </x:c>
      <x:c r="O94" s="7"/>
    </x:row>
    <x:row r="95" ht="15.75" customHeight="1">
      <x:c r="A95" s="7" t="s">
        <x:v>694</x:v>
      </x:c>
      <x:c r="B95" s="7" t="s">
        <x:v>695</x:v>
      </x:c>
      <x:c r="C95" s="7" t="s">
        <x:v>696</x:v>
      </x:c>
      <x:c r="D95" s="7" t="s">
        <x:v>697</x:v>
      </x:c>
      <x:c r="E95" s="7" t="s">
        <x:v>698</x:v>
      </x:c>
      <x:c r="F95" s="7" t="s">
        <x:v>699</x:v>
      </x:c>
      <x:c r="G95" s="7" t="s">
        <x:v>700</x:v>
      </x:c>
      <x:c r="H95" s="7" t="s">
        <x:v>701</x:v>
      </x:c>
      <x:c r="I95" s="7" t="s">
        <x:v>23</x:v>
      </x:c>
      <x:c r="J95" s="7" t="s">
        <x:v>24</x:v>
      </x:c>
      <x:c r="K95" s="7" t="s">
        <x:v>365</x:v>
      </x:c>
      <x:c r="L95" s="7" t="s">
        <x:v>366</x:v>
      </x:c>
      <x:c r="M95" s="7" t="s">
        <x:v>367</x:v>
      </x:c>
      <x:c r="N95" s="7" t="s">
        <x:v>28</x:v>
      </x:c>
      <x:c r="O95" s="7"/>
    </x:row>
    <x:row r="96" ht="15.75" customHeight="1">
      <x:c r="A96" s="7" t="s">
        <x:v>702</x:v>
      </x:c>
      <x:c r="B96" s="7" t="s">
        <x:v>703</x:v>
      </x:c>
      <x:c r="C96" s="7" t="s">
        <x:v>704</x:v>
      </x:c>
      <x:c r="D96" s="7" t="s">
        <x:v>705</x:v>
      </x:c>
      <x:c r="E96" s="7" t="s">
        <x:v>706</x:v>
      </x:c>
      <x:c r="F96" s="7" t="s">
        <x:v>124</x:v>
      </x:c>
      <x:c r="G96" s="7" t="s">
        <x:v>707</x:v>
      </x:c>
      <x:c r="H96" s="7" t="s">
        <x:v>708</x:v>
      </x:c>
      <x:c r="I96" s="7" t="s">
        <x:v>23</x:v>
      </x:c>
      <x:c r="J96" s="7" t="s">
        <x:v>241</x:v>
      </x:c>
      <x:c r="K96" s="7" t="s">
        <x:v>365</x:v>
      </x:c>
      <x:c r="L96" s="7" t="s">
        <x:v>366</x:v>
      </x:c>
      <x:c r="M96" s="7" t="s">
        <x:v>367</x:v>
      </x:c>
      <x:c r="N96" s="7" t="s">
        <x:v>28</x:v>
      </x:c>
      <x:c r="O96" s="7"/>
    </x:row>
    <x:row r="97" ht="15.75" customHeight="1">
      <x:c r="A97" s="7" t="s">
        <x:v>709</x:v>
      </x:c>
      <x:c r="B97" s="7" t="s">
        <x:v>710</x:v>
      </x:c>
      <x:c r="C97" s="7" t="s">
        <x:v>711</x:v>
      </x:c>
      <x:c r="D97" s="7" t="s">
        <x:v>712</x:v>
      </x:c>
      <x:c r="E97" s="7" t="s">
        <x:v>713</x:v>
      </x:c>
      <x:c r="F97" s="7" t="s">
        <x:v>124</x:v>
      </x:c>
      <x:c r="G97" s="7" t="s">
        <x:v>714</x:v>
      </x:c>
      <x:c r="H97" s="7" t="s">
        <x:v>715</x:v>
      </x:c>
      <x:c r="I97" s="7" t="s">
        <x:v>43</x:v>
      </x:c>
      <x:c r="J97" s="7" t="s">
        <x:v>61</x:v>
      </x:c>
      <x:c r="K97" s="7" t="s">
        <x:v>365</x:v>
      </x:c>
      <x:c r="L97" s="7" t="s">
        <x:v>366</x:v>
      </x:c>
      <x:c r="M97" s="7" t="s">
        <x:v>367</x:v>
      </x:c>
      <x:c r="N97" s="7" t="s">
        <x:v>28</x:v>
      </x:c>
      <x:c r="O97" s="7"/>
    </x:row>
    <x:row r="98" ht="15.75" customHeight="1">
      <x:c r="A98" s="7" t="s">
        <x:v>716</x:v>
      </x:c>
      <x:c r="B98" s="7" t="s">
        <x:v>717</x:v>
      </x:c>
      <x:c r="C98" s="7" t="s">
        <x:v>718</x:v>
      </x:c>
      <x:c r="D98" s="7" t="s">
        <x:v>719</x:v>
      </x:c>
      <x:c r="E98" s="7" t="s">
        <x:v>720</x:v>
      </x:c>
      <x:c r="F98" s="7" t="s">
        <x:v>124</x:v>
      </x:c>
      <x:c r="G98" s="7" t="s">
        <x:v>721</x:v>
      </x:c>
      <x:c r="H98" s="7" t="s">
        <x:v>722</x:v>
      </x:c>
      <x:c r="I98" s="7" t="s">
        <x:v>43</x:v>
      </x:c>
      <x:c r="J98" s="7" t="s">
        <x:v>723</x:v>
      </x:c>
      <x:c r="K98" s="7" t="s">
        <x:v>365</x:v>
      </x:c>
      <x:c r="L98" s="7" t="s">
        <x:v>366</x:v>
      </x:c>
      <x:c r="M98" s="7" t="s">
        <x:v>367</x:v>
      </x:c>
      <x:c r="N98" s="7" t="s">
        <x:v>28</x:v>
      </x:c>
      <x:c r="O98" s="7"/>
    </x:row>
    <x:row r="99" ht="15.75" customHeight="1">
      <x:c r="A99" s="7" t="s">
        <x:v>724</x:v>
      </x:c>
      <x:c r="B99" s="7" t="s">
        <x:v>725</x:v>
      </x:c>
      <x:c r="C99" s="7" t="s">
        <x:v>726</x:v>
      </x:c>
      <x:c r="D99" s="7" t="s">
        <x:v>727</x:v>
      </x:c>
      <x:c r="E99" s="7" t="s">
        <x:v>728</x:v>
      </x:c>
      <x:c r="F99" s="7" t="s">
        <x:v>729</x:v>
      </x:c>
      <x:c r="G99" s="7" t="s">
        <x:v>730</x:v>
      </x:c>
      <x:c r="H99" s="7" t="s">
        <x:v>731</x:v>
      </x:c>
      <x:c r="I99" s="7" t="s">
        <x:v>23</x:v>
      </x:c>
      <x:c r="J99" s="7" t="s">
        <x:v>24</x:v>
      </x:c>
      <x:c r="K99" s="7" t="s">
        <x:v>365</x:v>
      </x:c>
      <x:c r="L99" s="7" t="s">
        <x:v>366</x:v>
      </x:c>
      <x:c r="M99" s="7" t="s">
        <x:v>367</x:v>
      </x:c>
      <x:c r="N99" s="7" t="s">
        <x:v>28</x:v>
      </x:c>
      <x:c r="O99" s="7" t="s">
        <x:v>732</x:v>
      </x:c>
    </x:row>
    <x:row r="100" ht="15.75" customHeight="1">
      <x:c r="A100" s="7" t="s">
        <x:v>733</x:v>
      </x:c>
      <x:c r="B100" s="7" t="s">
        <x:v>734</x:v>
      </x:c>
      <x:c r="C100" s="7" t="s">
        <x:v>735</x:v>
      </x:c>
      <x:c r="D100" s="7" t="s">
        <x:v>736</x:v>
      </x:c>
      <x:c r="E100" s="7" t="s">
        <x:v>737</x:v>
      </x:c>
      <x:c r="F100" s="7" t="s">
        <x:v>124</x:v>
      </x:c>
      <x:c r="G100" s="7" t="s">
        <x:v>738</x:v>
      </x:c>
      <x:c r="H100" s="7" t="s">
        <x:v>739</x:v>
      </x:c>
      <x:c r="I100" s="7" t="s">
        <x:v>43</x:v>
      </x:c>
      <x:c r="J100" s="7" t="s">
        <x:v>61</x:v>
      </x:c>
      <x:c r="K100" s="7" t="s">
        <x:v>365</x:v>
      </x:c>
      <x:c r="L100" s="7" t="s">
        <x:v>366</x:v>
      </x:c>
      <x:c r="M100" s="7" t="s">
        <x:v>367</x:v>
      </x:c>
      <x:c r="N100" s="7" t="s">
        <x:v>28</x:v>
      </x:c>
      <x:c r="O100" s="7"/>
    </x:row>
    <x:row r="101" ht="15.75" customHeight="1">
      <x:c r="A101" s="7" t="s">
        <x:v>740</x:v>
      </x:c>
      <x:c r="B101" s="7" t="s">
        <x:v>741</x:v>
      </x:c>
      <x:c r="C101" s="7" t="s">
        <x:v>742</x:v>
      </x:c>
      <x:c r="D101" s="7" t="s">
        <x:v>743</x:v>
      </x:c>
      <x:c r="E101" s="7" t="s">
        <x:v>744</x:v>
      </x:c>
      <x:c r="F101" s="7" t="s">
        <x:v>124</x:v>
      </x:c>
      <x:c r="G101" s="7" t="s">
        <x:v>745</x:v>
      </x:c>
      <x:c r="H101" s="7" t="s">
        <x:v>746</x:v>
      </x:c>
      <x:c r="I101" s="7" t="s">
        <x:v>43</x:v>
      </x:c>
      <x:c r="J101" s="7" t="s">
        <x:v>24</x:v>
      </x:c>
      <x:c r="K101" s="7" t="s">
        <x:v>365</x:v>
      </x:c>
      <x:c r="L101" s="7" t="s">
        <x:v>366</x:v>
      </x:c>
      <x:c r="M101" s="7" t="s">
        <x:v>367</x:v>
      </x:c>
      <x:c r="N101" s="7" t="s">
        <x:v>28</x:v>
      </x:c>
      <x:c r="O101" s="7"/>
    </x:row>
    <x:row r="102" ht="15.75" customHeight="1">
      <x:c r="A102" s="7" t="s">
        <x:v>747</x:v>
      </x:c>
      <x:c r="B102" s="7" t="s">
        <x:v>748</x:v>
      </x:c>
      <x:c r="C102" s="7" t="s">
        <x:v>749</x:v>
      </x:c>
      <x:c r="D102" s="7" t="s">
        <x:v>750</x:v>
      </x:c>
      <x:c r="E102" s="7" t="s">
        <x:v>751</x:v>
      </x:c>
      <x:c r="F102" s="7" t="s">
        <x:v>752</x:v>
      </x:c>
      <x:c r="G102" s="7" t="s">
        <x:v>753</x:v>
      </x:c>
      <x:c r="H102" s="7" t="s">
        <x:v>754</x:v>
      </x:c>
      <x:c r="I102" s="7" t="s">
        <x:v>43</x:v>
      </x:c>
      <x:c r="J102" s="7" t="s">
        <x:v>24</x:v>
      </x:c>
      <x:c r="K102" s="7" t="s">
        <x:v>365</x:v>
      </x:c>
      <x:c r="L102" s="7" t="s">
        <x:v>366</x:v>
      </x:c>
      <x:c r="M102" s="7" t="s">
        <x:v>367</x:v>
      </x:c>
      <x:c r="N102" s="7" t="s">
        <x:v>28</x:v>
      </x:c>
      <x:c r="O102" s="7" t="s">
        <x:v>755</x:v>
      </x:c>
    </x:row>
    <x:row r="103" ht="15.75" customHeight="1">
      <x:c r="A103" s="7" t="s">
        <x:v>756</x:v>
      </x:c>
      <x:c r="B103" s="7" t="s">
        <x:v>757</x:v>
      </x:c>
      <x:c r="C103" s="7" t="s">
        <x:v>758</x:v>
      </x:c>
      <x:c r="D103" s="7" t="s">
        <x:v>759</x:v>
      </x:c>
      <x:c r="E103" s="7" t="s">
        <x:v>760</x:v>
      </x:c>
      <x:c r="F103" s="7" t="s">
        <x:v>761</x:v>
      </x:c>
      <x:c r="G103" s="7" t="s">
        <x:v>762</x:v>
      </x:c>
      <x:c r="H103" s="7" t="s">
        <x:v>763</x:v>
      </x:c>
      <x:c r="I103" s="7" t="s">
        <x:v>43</x:v>
      </x:c>
      <x:c r="J103" s="7" t="s">
        <x:v>51</x:v>
      </x:c>
      <x:c r="K103" s="7" t="s">
        <x:v>365</x:v>
      </x:c>
      <x:c r="L103" s="7" t="s">
        <x:v>366</x:v>
      </x:c>
      <x:c r="M103" s="7" t="s">
        <x:v>367</x:v>
      </x:c>
      <x:c r="N103" s="7" t="s">
        <x:v>28</x:v>
      </x:c>
      <x:c r="O103" s="7"/>
    </x:row>
    <x:row r="104" ht="15.75" customHeight="1">
      <x:c r="A104" s="7" t="s">
        <x:v>764</x:v>
      </x:c>
      <x:c r="B104" s="7" t="s">
        <x:v>765</x:v>
      </x:c>
      <x:c r="C104" s="7" t="s">
        <x:v>766</x:v>
      </x:c>
      <x:c r="D104" s="7" t="s">
        <x:v>767</x:v>
      </x:c>
      <x:c r="E104" s="7" t="s">
        <x:v>768</x:v>
      </x:c>
      <x:c r="F104" s="7" t="s">
        <x:v>124</x:v>
      </x:c>
      <x:c r="G104" s="7" t="s">
        <x:v>769</x:v>
      </x:c>
      <x:c r="H104" s="7" t="s">
        <x:v>770</x:v>
      </x:c>
      <x:c r="I104" s="7" t="s">
        <x:v>23</x:v>
      </x:c>
      <x:c r="J104" s="7" t="s">
        <x:v>241</x:v>
      </x:c>
      <x:c r="K104" s="7" t="s">
        <x:v>365</x:v>
      </x:c>
      <x:c r="L104" s="7" t="s">
        <x:v>366</x:v>
      </x:c>
      <x:c r="M104" s="7" t="s">
        <x:v>367</x:v>
      </x:c>
      <x:c r="N104" s="7" t="s">
        <x:v>28</x:v>
      </x:c>
      <x:c r="O104" s="7"/>
    </x:row>
    <x:row r="105" ht="15.75" customHeight="1">
      <x:c r="A105" s="7" t="s">
        <x:v>771</x:v>
      </x:c>
      <x:c r="B105" s="7" t="s">
        <x:v>772</x:v>
      </x:c>
      <x:c r="C105" s="7" t="s">
        <x:v>773</x:v>
      </x:c>
      <x:c r="D105" s="7" t="s">
        <x:v>774</x:v>
      </x:c>
      <x:c r="E105" s="7" t="s">
        <x:v>775</x:v>
      </x:c>
      <x:c r="F105" s="7" t="s">
        <x:v>776</x:v>
      </x:c>
      <x:c r="G105" s="7" t="s">
        <x:v>777</x:v>
      </x:c>
      <x:c r="H105" s="7" t="s">
        <x:v>778</x:v>
      </x:c>
      <x:c r="I105" s="7" t="s">
        <x:v>23</x:v>
      </x:c>
      <x:c r="J105" s="7" t="s">
        <x:v>241</x:v>
      </x:c>
      <x:c r="K105" s="7" t="s">
        <x:v>365</x:v>
      </x:c>
      <x:c r="L105" s="7" t="s">
        <x:v>366</x:v>
      </x:c>
      <x:c r="M105" s="7" t="s">
        <x:v>367</x:v>
      </x:c>
      <x:c r="N105" s="7" t="s">
        <x:v>28</x:v>
      </x:c>
      <x:c r="O105" s="7"/>
    </x:row>
    <x:row r="106" ht="15.75" customHeight="1">
      <x:c r="A106" s="7" t="s">
        <x:v>779</x:v>
      </x:c>
      <x:c r="B106" s="7" t="s">
        <x:v>772</x:v>
      </x:c>
      <x:c r="C106" s="7" t="s">
        <x:v>780</x:v>
      </x:c>
      <x:c r="D106" s="7" t="s">
        <x:v>781</x:v>
      </x:c>
      <x:c r="E106" s="7" t="s">
        <x:v>782</x:v>
      </x:c>
      <x:c r="F106" s="7" t="s">
        <x:v>124</x:v>
      </x:c>
      <x:c r="G106" s="7" t="s">
        <x:v>783</x:v>
      </x:c>
      <x:c r="H106" s="7" t="s">
        <x:v>784</x:v>
      </x:c>
      <x:c r="I106" s="7" t="s">
        <x:v>23</x:v>
      </x:c>
      <x:c r="J106" s="7" t="s">
        <x:v>241</x:v>
      </x:c>
      <x:c r="K106" s="7" t="s">
        <x:v>365</x:v>
      </x:c>
      <x:c r="L106" s="7" t="s">
        <x:v>366</x:v>
      </x:c>
      <x:c r="M106" s="7" t="s">
        <x:v>367</x:v>
      </x:c>
      <x:c r="N106" s="7" t="s">
        <x:v>28</x:v>
      </x:c>
      <x:c r="O106" s="7"/>
    </x:row>
    <x:row r="107" ht="15.75" customHeight="1">
      <x:c r="A107" s="7" t="s">
        <x:v>785</x:v>
      </x:c>
      <x:c r="B107" s="7" t="s">
        <x:v>772</x:v>
      </x:c>
      <x:c r="C107" s="7" t="s">
        <x:v>786</x:v>
      </x:c>
      <x:c r="D107" s="7" t="s">
        <x:v>787</x:v>
      </x:c>
      <x:c r="E107" s="7" t="s">
        <x:v>788</x:v>
      </x:c>
      <x:c r="F107" s="7" t="s">
        <x:v>124</x:v>
      </x:c>
      <x:c r="G107" s="7" t="s">
        <x:v>789</x:v>
      </x:c>
      <x:c r="H107" s="7" t="s">
        <x:v>790</x:v>
      </x:c>
      <x:c r="I107" s="7" t="s">
        <x:v>23</x:v>
      </x:c>
      <x:c r="J107" s="7" t="s">
        <x:v>241</x:v>
      </x:c>
      <x:c r="K107" s="7" t="s">
        <x:v>365</x:v>
      </x:c>
      <x:c r="L107" s="7" t="s">
        <x:v>366</x:v>
      </x:c>
      <x:c r="M107" s="7" t="s">
        <x:v>367</x:v>
      </x:c>
      <x:c r="N107" s="7" t="s">
        <x:v>28</x:v>
      </x:c>
      <x:c r="O107" s="7"/>
    </x:row>
    <x:row r="108" ht="15.75" customHeight="1">
      <x:c r="A108" s="7" t="s">
        <x:v>791</x:v>
      </x:c>
      <x:c r="B108" s="7" t="s">
        <x:v>792</x:v>
      </x:c>
      <x:c r="C108" s="7" t="s">
        <x:v>793</x:v>
      </x:c>
      <x:c r="D108" s="7" t="s">
        <x:v>794</x:v>
      </x:c>
      <x:c r="E108" s="7" t="s">
        <x:v>795</x:v>
      </x:c>
      <x:c r="F108" s="7" t="s">
        <x:v>796</x:v>
      </x:c>
      <x:c r="G108" s="7" t="s">
        <x:v>797</x:v>
      </x:c>
      <x:c r="H108" s="7" t="s">
        <x:v>798</x:v>
      </x:c>
      <x:c r="I108" s="7" t="s">
        <x:v>23</x:v>
      </x:c>
      <x:c r="J108" s="7" t="s">
        <x:v>723</x:v>
      </x:c>
      <x:c r="K108" s="7" t="s">
        <x:v>365</x:v>
      </x:c>
      <x:c r="L108" s="7" t="s">
        <x:v>366</x:v>
      </x:c>
      <x:c r="M108" s="7" t="s">
        <x:v>367</x:v>
      </x:c>
      <x:c r="N108" s="7" t="s">
        <x:v>28</x:v>
      </x:c>
      <x:c r="O108" s="7"/>
    </x:row>
    <x:row r="109" ht="15.75" customHeight="1">
      <x:c r="A109" s="7" t="s">
        <x:v>799</x:v>
      </x:c>
      <x:c r="B109" s="7" t="s">
        <x:v>792</x:v>
      </x:c>
      <x:c r="C109" s="7" t="s">
        <x:v>800</x:v>
      </x:c>
      <x:c r="D109" s="7" t="s">
        <x:v>801</x:v>
      </x:c>
      <x:c r="E109" s="7" t="s">
        <x:v>802</x:v>
      </x:c>
      <x:c r="F109" s="7" t="s">
        <x:v>803</x:v>
      </x:c>
      <x:c r="G109" s="7" t="s">
        <x:v>804</x:v>
      </x:c>
      <x:c r="H109" s="7" t="s">
        <x:v>805</x:v>
      </x:c>
      <x:c r="I109" s="7" t="s">
        <x:v>43</x:v>
      </x:c>
      <x:c r="J109" s="7" t="s">
        <x:v>723</x:v>
      </x:c>
      <x:c r="K109" s="7" t="s">
        <x:v>365</x:v>
      </x:c>
      <x:c r="L109" s="7" t="s">
        <x:v>366</x:v>
      </x:c>
      <x:c r="M109" s="7" t="s">
        <x:v>367</x:v>
      </x:c>
      <x:c r="N109" s="7" t="s">
        <x:v>28</x:v>
      </x:c>
      <x:c r="O109" s="7"/>
    </x:row>
    <x:row r="110" ht="15.75" customHeight="1">
      <x:c r="A110" s="7" t="s">
        <x:v>806</x:v>
      </x:c>
      <x:c r="B110" s="7" t="s">
        <x:v>807</x:v>
      </x:c>
      <x:c r="C110" s="7" t="s">
        <x:v>808</x:v>
      </x:c>
      <x:c r="D110" s="7" t="s">
        <x:v>809</x:v>
      </x:c>
      <x:c r="E110" s="7" t="s">
        <x:v>810</x:v>
      </x:c>
      <x:c r="F110" s="7" t="s">
        <x:v>124</x:v>
      </x:c>
      <x:c r="G110" s="7" t="s">
        <x:v>811</x:v>
      </x:c>
      <x:c r="H110" s="7" t="s">
        <x:v>812</x:v>
      </x:c>
      <x:c r="I110" s="7" t="s">
        <x:v>23</x:v>
      </x:c>
      <x:c r="J110" s="7" t="s">
        <x:v>723</x:v>
      </x:c>
      <x:c r="K110" s="7" t="s">
        <x:v>365</x:v>
      </x:c>
      <x:c r="L110" s="7" t="s">
        <x:v>366</x:v>
      </x:c>
      <x:c r="M110" s="7" t="s">
        <x:v>367</x:v>
      </x:c>
      <x:c r="N110" s="7" t="s">
        <x:v>28</x:v>
      </x:c>
      <x:c r="O110" s="7"/>
    </x:row>
    <x:row r="111" ht="15.75" customHeight="1">
      <x:c r="A111" s="7" t="s">
        <x:v>813</x:v>
      </x:c>
      <x:c r="B111" s="7" t="s">
        <x:v>814</x:v>
      </x:c>
      <x:c r="C111" s="7" t="s">
        <x:v>815</x:v>
      </x:c>
      <x:c r="D111" s="7" t="s">
        <x:v>816</x:v>
      </x:c>
      <x:c r="E111" s="7" t="s">
        <x:v>642</x:v>
      </x:c>
      <x:c r="F111" s="7" t="s">
        <x:v>362</x:v>
      </x:c>
      <x:c r="G111" s="7" t="s">
        <x:v>817</x:v>
      </x:c>
      <x:c r="H111" s="7" t="s">
        <x:v>818</x:v>
      </x:c>
      <x:c r="I111" s="7" t="s">
        <x:v>43</x:v>
      </x:c>
      <x:c r="J111" s="7" t="s">
        <x:v>469</x:v>
      </x:c>
      <x:c r="K111" s="7" t="s">
        <x:v>365</x:v>
      </x:c>
      <x:c r="L111" s="7" t="s">
        <x:v>366</x:v>
      </x:c>
      <x:c r="M111" s="7" t="s">
        <x:v>367</x:v>
      </x:c>
      <x:c r="N111" s="7" t="s">
        <x:v>28</x:v>
      </x:c>
      <x:c r="O111" s="7"/>
    </x:row>
    <x:row r="112" ht="15.75" customHeight="1">
      <x:c r="A112" s="7" t="s">
        <x:v>819</x:v>
      </x:c>
      <x:c r="B112" s="7" t="s">
        <x:v>820</x:v>
      </x:c>
      <x:c r="C112" s="7" t="s">
        <x:v>821</x:v>
      </x:c>
      <x:c r="D112" s="7" t="s">
        <x:v>822</x:v>
      </x:c>
      <x:c r="E112" s="7" t="s">
        <x:v>823</x:v>
      </x:c>
      <x:c r="F112" s="7" t="s">
        <x:v>124</x:v>
      </x:c>
      <x:c r="G112" s="7" t="s">
        <x:v>824</x:v>
      </x:c>
      <x:c r="H112" s="7" t="s">
        <x:v>825</x:v>
      </x:c>
      <x:c r="I112" s="7" t="s">
        <x:v>43</x:v>
      </x:c>
      <x:c r="J112" s="7" t="s">
        <x:v>24</x:v>
      </x:c>
      <x:c r="K112" s="7" t="s">
        <x:v>365</x:v>
      </x:c>
      <x:c r="L112" s="7" t="s">
        <x:v>366</x:v>
      </x:c>
      <x:c r="M112" s="7" t="s">
        <x:v>367</x:v>
      </x:c>
      <x:c r="N112" s="7" t="s">
        <x:v>28</x:v>
      </x:c>
      <x:c r="O112" s="7"/>
    </x:row>
    <x:row r="113" ht="15.75" customHeight="1">
      <x:c r="A113" s="7" t="s">
        <x:v>826</x:v>
      </x:c>
      <x:c r="B113" s="7" t="s">
        <x:v>827</x:v>
      </x:c>
      <x:c r="C113" s="7" t="s">
        <x:v>828</x:v>
      </x:c>
      <x:c r="D113" s="7" t="s">
        <x:v>829</x:v>
      </x:c>
      <x:c r="E113" s="7" t="s">
        <x:v>830</x:v>
      </x:c>
      <x:c r="F113" s="7" t="s">
        <x:v>124</x:v>
      </x:c>
      <x:c r="G113" s="7" t="s">
        <x:v>831</x:v>
      </x:c>
      <x:c r="H113" s="7" t="s">
        <x:v>832</x:v>
      </x:c>
      <x:c r="I113" s="7" t="s">
        <x:v>43</x:v>
      </x:c>
      <x:c r="J113" s="7" t="s">
        <x:v>469</x:v>
      </x:c>
      <x:c r="K113" s="7" t="s">
        <x:v>365</x:v>
      </x:c>
      <x:c r="L113" s="7" t="s">
        <x:v>366</x:v>
      </x:c>
      <x:c r="M113" s="7" t="s">
        <x:v>367</x:v>
      </x:c>
      <x:c r="N113" s="7" t="s">
        <x:v>28</x:v>
      </x:c>
      <x:c r="O113" s="7"/>
    </x:row>
    <x:row r="114" ht="15.75" customHeight="1">
      <x:c r="A114" s="7" t="s">
        <x:v>833</x:v>
      </x:c>
      <x:c r="B114" s="7" t="s">
        <x:v>834</x:v>
      </x:c>
      <x:c r="C114" s="7" t="s">
        <x:v>835</x:v>
      </x:c>
      <x:c r="D114" s="7" t="s">
        <x:v>836</x:v>
      </x:c>
      <x:c r="E114" s="7" t="s">
        <x:v>837</x:v>
      </x:c>
      <x:c r="F114" s="7" t="s">
        <x:v>838</x:v>
      </x:c>
      <x:c r="G114" s="7" t="s">
        <x:v>839</x:v>
      </x:c>
      <x:c r="H114" s="7" t="s">
        <x:v>840</x:v>
      </x:c>
      <x:c r="I114" s="7" t="s">
        <x:v>43</x:v>
      </x:c>
      <x:c r="J114" s="7" t="s">
        <x:v>841</x:v>
      </x:c>
      <x:c r="K114" s="7" t="s">
        <x:v>365</x:v>
      </x:c>
      <x:c r="L114" s="7" t="s">
        <x:v>366</x:v>
      </x:c>
      <x:c r="M114" s="7" t="s">
        <x:v>367</x:v>
      </x:c>
      <x:c r="N114" s="7" t="s">
        <x:v>28</x:v>
      </x:c>
      <x:c r="O114" s="7"/>
    </x:row>
    <x:row r="115" ht="15.75" customHeight="1">
      <x:c r="A115" s="7" t="s">
        <x:v>842</x:v>
      </x:c>
      <x:c r="B115" s="7" t="s">
        <x:v>843</x:v>
      </x:c>
      <x:c r="C115" s="7" t="s">
        <x:v>844</x:v>
      </x:c>
      <x:c r="D115" s="7" t="s">
        <x:v>845</x:v>
      </x:c>
      <x:c r="E115" s="7" t="s">
        <x:v>846</x:v>
      </x:c>
      <x:c r="F115" s="7" t="s">
        <x:v>124</x:v>
      </x:c>
      <x:c r="G115" s="7" t="s">
        <x:v>847</x:v>
      </x:c>
      <x:c r="H115" s="7" t="s">
        <x:v>848</x:v>
      </x:c>
      <x:c r="I115" s="7" t="s">
        <x:v>43</x:v>
      </x:c>
      <x:c r="J115" s="7" t="s">
        <x:v>469</x:v>
      </x:c>
      <x:c r="K115" s="7" t="s">
        <x:v>365</x:v>
      </x:c>
      <x:c r="L115" s="7" t="s">
        <x:v>366</x:v>
      </x:c>
      <x:c r="M115" s="7" t="s">
        <x:v>367</x:v>
      </x:c>
      <x:c r="N115" s="7" t="s">
        <x:v>28</x:v>
      </x:c>
      <x:c r="O115" s="7" t="s">
        <x:v>849</x:v>
      </x:c>
    </x:row>
    <x:row r="116" ht="15.75" customHeight="1">
      <x:c r="A116" s="7" t="s">
        <x:v>850</x:v>
      </x:c>
      <x:c r="B116" s="7" t="s">
        <x:v>843</x:v>
      </x:c>
      <x:c r="C116" s="7" t="s">
        <x:v>851</x:v>
      </x:c>
      <x:c r="D116" s="7" t="s">
        <x:v>852</x:v>
      </x:c>
      <x:c r="E116" s="7" t="s">
        <x:v>853</x:v>
      </x:c>
      <x:c r="F116" s="7" t="s">
        <x:v>854</x:v>
      </x:c>
      <x:c r="G116" s="7" t="s">
        <x:v>855</x:v>
      </x:c>
      <x:c r="H116" s="7" t="s">
        <x:v>856</x:v>
      </x:c>
      <x:c r="I116" s="7" t="s">
        <x:v>43</x:v>
      </x:c>
      <x:c r="J116" s="7" t="s">
        <x:v>469</x:v>
      </x:c>
      <x:c r="K116" s="7" t="s">
        <x:v>365</x:v>
      </x:c>
      <x:c r="L116" s="7" t="s">
        <x:v>366</x:v>
      </x:c>
      <x:c r="M116" s="7" t="s">
        <x:v>367</x:v>
      </x:c>
      <x:c r="N116" s="7" t="s">
        <x:v>28</x:v>
      </x:c>
      <x:c r="O116" s="7" t="s">
        <x:v>857</x:v>
      </x:c>
    </x:row>
    <x:row r="117" ht="15.75" customHeight="1">
      <x:c r="A117" s="7" t="s">
        <x:v>858</x:v>
      </x:c>
      <x:c r="B117" s="7" t="s">
        <x:v>859</x:v>
      </x:c>
      <x:c r="C117" s="7" t="s">
        <x:v>860</x:v>
      </x:c>
      <x:c r="D117" s="7" t="s">
        <x:v>861</x:v>
      </x:c>
      <x:c r="E117" s="7" t="s">
        <x:v>862</x:v>
      </x:c>
      <x:c r="F117" s="7" t="s">
        <x:v>863</x:v>
      </x:c>
      <x:c r="G117" s="7" t="s">
        <x:v>864</x:v>
      </x:c>
      <x:c r="H117" s="7" t="s">
        <x:v>865</x:v>
      </x:c>
      <x:c r="I117" s="7" t="s">
        <x:v>43</x:v>
      </x:c>
      <x:c r="J117" s="7" t="s">
        <x:v>866</x:v>
      </x:c>
      <x:c r="K117" s="7" t="s">
        <x:v>365</x:v>
      </x:c>
      <x:c r="L117" s="7" t="s">
        <x:v>366</x:v>
      </x:c>
      <x:c r="M117" s="7" t="s">
        <x:v>367</x:v>
      </x:c>
      <x:c r="N117" s="7" t="s">
        <x:v>28</x:v>
      </x:c>
      <x:c r="O117" s="7"/>
    </x:row>
    <x:row r="118" ht="15.75" customHeight="1">
      <x:c r="A118" s="7" t="s">
        <x:v>867</x:v>
      </x:c>
      <x:c r="B118" s="7" t="s">
        <x:v>868</x:v>
      </x:c>
      <x:c r="C118" s="7" t="s">
        <x:v>869</x:v>
      </x:c>
      <x:c r="D118" s="7" t="s">
        <x:v>870</x:v>
      </x:c>
      <x:c r="E118" s="7" t="s">
        <x:v>871</x:v>
      </x:c>
      <x:c r="F118" s="7" t="s">
        <x:v>124</x:v>
      </x:c>
      <x:c r="G118" s="7" t="s">
        <x:v>872</x:v>
      </x:c>
      <x:c r="H118" s="7" t="s">
        <x:v>873</x:v>
      </x:c>
      <x:c r="I118" s="7" t="s">
        <x:v>117</x:v>
      </x:c>
      <x:c r="J118" s="7" t="s">
        <x:v>24</x:v>
      </x:c>
      <x:c r="K118" s="7" t="s">
        <x:v>365</x:v>
      </x:c>
      <x:c r="L118" s="7" t="s">
        <x:v>366</x:v>
      </x:c>
      <x:c r="M118" s="7" t="s">
        <x:v>367</x:v>
      </x:c>
      <x:c r="N118" s="7" t="s">
        <x:v>28</x:v>
      </x:c>
      <x:c r="O118" s="7" t="s">
        <x:v>874</x:v>
      </x:c>
    </x:row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</x:sheetData>
  <x:dataValidations count="2">
    <x:dataValidation type="list" allowBlank="1" sqref="I2:I118">
      <x:formula1>"High,Medium,Low"</x:formula1>
    </x:dataValidation>
    <x:dataValidation type="list" allowBlank="1" sqref="N2:N118">
      <x:formula1>"Not Run,Pass,Fail,N/A,Pending"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14.430000305175781" defaultRowHeight="15"/>
  <x:cols>
    <x:col min="1" max="1" width="11" customWidth="1"/>
    <x:col min="2" max="2" width="24" customWidth="1"/>
    <x:col min="3" max="3" width="14" customWidth="1"/>
    <x:col min="4" max="4" width="16" customWidth="1"/>
    <x:col min="5" max="5" width="50" customWidth="1"/>
    <x:col min="6" max="6" width="40" customWidth="1"/>
    <x:col min="7" max="7" width="12" customWidth="1"/>
    <x:col min="8" max="8" width="26" customWidth="1"/>
    <x:col min="9" max="9" width="12" customWidth="1"/>
    <x:col min="10" max="10" width="36" customWidth="1"/>
    <x:col min="11" max="26" width="8.710000038146973" customWidth="1"/>
  </x:cols>
  <x:sheetData>
    <x:row r="1" ht="31.5" customHeight="1">
      <x:c r="A1" s="1" t="s">
        <x:v>0</x:v>
      </x:c>
      <x:c r="B1" s="1" t="s">
        <x:v>10</x:v>
      </x:c>
      <x:c r="C1" s="1" t="s">
        <x:v>875</x:v>
      </x:c>
      <x:c r="D1" s="1" t="s">
        <x:v>876</x:v>
      </x:c>
      <x:c r="E1" s="1" t="s">
        <x:v>7</x:v>
      </x:c>
      <x:c r="F1" s="1" t="s">
        <x:v>877</x:v>
      </x:c>
      <x:c r="G1" s="1" t="s">
        <x:v>878</x:v>
      </x:c>
      <x:c r="H1" s="1" t="s">
        <x:v>879</x:v>
      </x:c>
      <x:c r="I1" s="1" t="s">
        <x:v>880</x:v>
      </x:c>
      <x:c r="J1" s="1" t="s">
        <x:v>881</x:v>
      </x:c>
    </x:row>
    <x:row r="2">
      <x:c r="A2" s="4" t="s">
        <x:v>15</x:v>
      </x:c>
      <x:c r="B2" s="4" t="s">
        <x:v>25</x:v>
      </x:c>
      <x:c r="C2" s="5" t="str">
        <x:v>2026-10-28</x:v>
      </x:c>
      <x:c r="D2" s="6" t="str">
        <x:v>Codex / Unity Test Framework</x:v>
      </x:c>
      <x:c r="E2" s="4" t="s">
        <x:v>22</x:v>
      </x:c>
      <x:c r="F2" s="6" t="str">
        <x:v>1/1 lượt Unity EditMode đạt; kết quả đúng như mong đợi.</x:v>
      </x:c>
      <x:c r="G2" s="14" t="str">
        <x:v>Pass</x:v>
      </x:c>
      <x:c r="H2" s="6" t="str">
        <x:v>TestResults/Unity_EditMode_Execution_2026-10-28.tsv</x:v>
      </x:c>
      <x:c r="I2" s="6"/>
      <x:c r="J2" s="6"/>
    </x:row>
    <x:row r="3">
      <x:c r="A3" s="4" t="s">
        <x:v>30</x:v>
      </x:c>
      <x:c r="B3" s="4" t="s">
        <x:v>25</x:v>
      </x:c>
      <x:c r="C3" s="5" t="str">
        <x:v>2026-10-28</x:v>
      </x:c>
      <x:c r="D3" s="6" t="str">
        <x:v>Codex / Unity Test Framework</x:v>
      </x:c>
      <x:c r="E3" s="4" t="s">
        <x:v>35</x:v>
      </x:c>
      <x:c r="F3" s="6" t="str">
        <x:v>1/1 lượt Unity EditMode đạt; kết quả đúng như mong đợi.</x:v>
      </x:c>
      <x:c r="G3" s="14" t="str">
        <x:v>Pass</x:v>
      </x:c>
      <x:c r="H3" s="6" t="str">
        <x:v>TestResults/Unity_EditMode_Execution_2026-10-28.tsv</x:v>
      </x:c>
      <x:c r="I3" s="6"/>
      <x:c r="J3" s="6"/>
    </x:row>
    <x:row r="4">
      <x:c r="A4" s="4" t="s">
        <x:v>37</x:v>
      </x:c>
      <x:c r="B4" s="4" t="s">
        <x:v>25</x:v>
      </x:c>
      <x:c r="C4" s="5" t="str">
        <x:v>2026-10-28</x:v>
      </x:c>
      <x:c r="D4" s="6" t="str">
        <x:v>Codex / Unity Test Framework</x:v>
      </x:c>
      <x:c r="E4" s="4" t="s">
        <x:v>42</x:v>
      </x:c>
      <x:c r="F4" s="6" t="str">
        <x:v>1/1 lượt Unity EditMode đạt; kết quả đúng như mong đợi.</x:v>
      </x:c>
      <x:c r="G4" s="14" t="str">
        <x:v>Pass</x:v>
      </x:c>
      <x:c r="H4" s="6" t="str">
        <x:v>TestResults/Unity_EditMode_Execution_2026-10-28.tsv</x:v>
      </x:c>
      <x:c r="I4" s="6"/>
      <x:c r="J4" s="6"/>
    </x:row>
    <x:row r="5">
      <x:c r="A5" s="4" t="s">
        <x:v>45</x:v>
      </x:c>
      <x:c r="B5" s="4" t="s">
        <x:v>25</x:v>
      </x:c>
      <x:c r="C5" s="5" t="str">
        <x:v>2026-10-28</x:v>
      </x:c>
      <x:c r="D5" s="6" t="str">
        <x:v>Codex / Unity Test Framework</x:v>
      </x:c>
      <x:c r="E5" s="4" t="s">
        <x:v>50</x:v>
      </x:c>
      <x:c r="F5" s="6" t="str">
        <x:v>4/4 lượt Unity EditMode đạt; kết quả đúng như mong đợi.</x:v>
      </x:c>
      <x:c r="G5" s="14" t="str">
        <x:v>Pass</x:v>
      </x:c>
      <x:c r="H5" s="6" t="str">
        <x:v>TestResults/Unity_EditMode_Execution_2026-10-28.tsv</x:v>
      </x:c>
      <x:c r="I5" s="6"/>
      <x:c r="J5" s="6"/>
    </x:row>
    <x:row r="6">
      <x:c r="A6" s="4" t="s">
        <x:v>53</x:v>
      </x:c>
      <x:c r="B6" s="4" t="s">
        <x:v>25</x:v>
      </x:c>
      <x:c r="C6" s="5" t="str">
        <x:v>2026-10-28</x:v>
      </x:c>
      <x:c r="D6" s="6" t="str">
        <x:v>Codex / Unity Test Framework</x:v>
      </x:c>
      <x:c r="E6" s="4" t="s">
        <x:v>60</x:v>
      </x:c>
      <x:c r="F6" s="6" t="str">
        <x:v>1/1 lượt Unity EditMode đạt; kết quả đúng như mong đợi.</x:v>
      </x:c>
      <x:c r="G6" s="14" t="str">
        <x:v>Pass</x:v>
      </x:c>
      <x:c r="H6" s="6" t="str">
        <x:v>TestResults/Unity_EditMode_Execution_2026-10-28.tsv</x:v>
      </x:c>
      <x:c r="I6" s="6"/>
      <x:c r="J6" s="6"/>
    </x:row>
    <x:row r="7">
      <x:c r="A7" s="4" t="s">
        <x:v>63</x:v>
      </x:c>
      <x:c r="B7" s="4" t="s">
        <x:v>25</x:v>
      </x:c>
      <x:c r="C7" s="5" t="str">
        <x:v>2026-10-28</x:v>
      </x:c>
      <x:c r="D7" s="6" t="str">
        <x:v>Codex / Unity Test Framework</x:v>
      </x:c>
      <x:c r="E7" s="4" t="s">
        <x:v>68</x:v>
      </x:c>
      <x:c r="F7" s="6" t="str">
        <x:v>5/5 lượt Unity EditMode đạt; kết quả đúng như mong đợi.</x:v>
      </x:c>
      <x:c r="G7" s="14" t="str">
        <x:v>Pass</x:v>
      </x:c>
      <x:c r="H7" s="6" t="str">
        <x:v>TestResults/Unity_EditMode_Execution_2026-10-28.tsv</x:v>
      </x:c>
      <x:c r="I7" s="6"/>
      <x:c r="J7" s="6"/>
    </x:row>
    <x:row r="8">
      <x:c r="A8" s="4" t="s">
        <x:v>70</x:v>
      </x:c>
      <x:c r="B8" s="4" t="s">
        <x:v>25</x:v>
      </x:c>
      <x:c r="C8" s="5" t="str">
        <x:v>2026-10-28</x:v>
      </x:c>
      <x:c r="D8" s="6" t="str">
        <x:v>Codex / Unity Test Framework</x:v>
      </x:c>
      <x:c r="E8" s="4" t="s">
        <x:v>75</x:v>
      </x:c>
      <x:c r="F8" s="6" t="str">
        <x:v>1/1 lượt Unity EditMode đạt; kết quả đúng như mong đợi.</x:v>
      </x:c>
      <x:c r="G8" s="14" t="str">
        <x:v>Pass</x:v>
      </x:c>
      <x:c r="H8" s="6" t="str">
        <x:v>TestResults/Unity_EditMode_Execution_2026-10-28.tsv</x:v>
      </x:c>
      <x:c r="I8" s="6"/>
      <x:c r="J8" s="6"/>
    </x:row>
    <x:row r="9">
      <x:c r="A9" s="4" t="s">
        <x:v>77</x:v>
      </x:c>
      <x:c r="B9" s="4" t="s">
        <x:v>25</x:v>
      </x:c>
      <x:c r="C9" s="5" t="str">
        <x:v>2026-10-28</x:v>
      </x:c>
      <x:c r="D9" s="6" t="str">
        <x:v>Codex / Unity Test Framework</x:v>
      </x:c>
      <x:c r="E9" s="4" t="s">
        <x:v>84</x:v>
      </x:c>
      <x:c r="F9" s="6" t="str">
        <x:v>1/1 lượt Unity EditMode đạt; kết quả đúng như mong đợi.</x:v>
      </x:c>
      <x:c r="G9" s="14" t="str">
        <x:v>Pass</x:v>
      </x:c>
      <x:c r="H9" s="6" t="str">
        <x:v>TestResults/Unity_EditMode_Execution_2026-10-28.tsv</x:v>
      </x:c>
      <x:c r="I9" s="6"/>
      <x:c r="J9" s="6"/>
    </x:row>
    <x:row r="10">
      <x:c r="A10" s="4" t="s">
        <x:v>86</x:v>
      </x:c>
      <x:c r="B10" s="4" t="s">
        <x:v>25</x:v>
      </x:c>
      <x:c r="C10" s="5" t="str">
        <x:v>2026-10-28</x:v>
      </x:c>
      <x:c r="D10" s="6" t="str">
        <x:v>Codex / Unity Test Framework</x:v>
      </x:c>
      <x:c r="E10" s="4" t="s">
        <x:v>93</x:v>
      </x:c>
      <x:c r="F10" s="6" t="str">
        <x:v>1/1 lượt Unity EditMode đạt; kết quả đúng như mong đợi.</x:v>
      </x:c>
      <x:c r="G10" s="14" t="str">
        <x:v>Pass</x:v>
      </x:c>
      <x:c r="H10" s="6" t="str">
        <x:v>TestResults/Unity_EditMode_Execution_2026-10-28.tsv</x:v>
      </x:c>
      <x:c r="I10" s="6"/>
      <x:c r="J10" s="6"/>
    </x:row>
    <x:row r="11">
      <x:c r="A11" s="4" t="s">
        <x:v>95</x:v>
      </x:c>
      <x:c r="B11" s="4" t="s">
        <x:v>25</x:v>
      </x:c>
      <x:c r="C11" s="5" t="str">
        <x:v>2026-10-28</x:v>
      </x:c>
      <x:c r="D11" s="6" t="str">
        <x:v>Codex / Unity Test Framework</x:v>
      </x:c>
      <x:c r="E11" s="4" t="s">
        <x:v>102</x:v>
      </x:c>
      <x:c r="F11" s="6" t="str">
        <x:v>1/1 lượt Unity EditMode đạt; kết quả đúng như mong đợi.</x:v>
      </x:c>
      <x:c r="G11" s="14" t="str">
        <x:v>Pass</x:v>
      </x:c>
      <x:c r="H11" s="6" t="str">
        <x:v>TestResults/Unity_EditMode_Execution_2026-10-28.tsv</x:v>
      </x:c>
      <x:c r="I11" s="6"/>
      <x:c r="J11" s="6"/>
    </x:row>
    <x:row r="12">
      <x:c r="A12" s="4" t="s">
        <x:v>104</x:v>
      </x:c>
      <x:c r="B12" s="4" t="s">
        <x:v>25</x:v>
      </x:c>
      <x:c r="C12" s="5" t="str">
        <x:v>2026-10-28</x:v>
      </x:c>
      <x:c r="D12" s="6" t="str">
        <x:v>Codex / Unity Test Framework</x:v>
      </x:c>
      <x:c r="E12" s="4" t="s">
        <x:v>110</x:v>
      </x:c>
      <x:c r="F12" s="6" t="str">
        <x:v>1/1 lượt Unity EditMode đạt; kết quả đúng như mong đợi.</x:v>
      </x:c>
      <x:c r="G12" s="14" t="str">
        <x:v>Pass</x:v>
      </x:c>
      <x:c r="H12" s="6" t="str">
        <x:v>TestResults/Unity_EditMode_Execution_2026-10-28.tsv</x:v>
      </x:c>
      <x:c r="I12" s="6"/>
      <x:c r="J12" s="6"/>
    </x:row>
    <x:row r="13">
      <x:c r="A13" s="4" t="s">
        <x:v>112</x:v>
      </x:c>
      <x:c r="B13" s="4" t="s">
        <x:v>25</x:v>
      </x:c>
      <x:c r="C13" s="5" t="str">
        <x:v>2026-10-28</x:v>
      </x:c>
      <x:c r="D13" s="6" t="str">
        <x:v>Codex / Unity Test Framework</x:v>
      </x:c>
      <x:c r="E13" s="4" t="s">
        <x:v>116</x:v>
      </x:c>
      <x:c r="F13" s="6" t="str">
        <x:v>1/1 lượt Unity EditMode đạt; kết quả đúng như mong đợi.</x:v>
      </x:c>
      <x:c r="G13" s="14" t="str">
        <x:v>Pass</x:v>
      </x:c>
      <x:c r="H13" s="6" t="str">
        <x:v>TestResults/Unity_EditMode_Execution_2026-10-28.tsv</x:v>
      </x:c>
      <x:c r="I13" s="6"/>
      <x:c r="J13" s="6"/>
    </x:row>
    <x:row r="14">
      <x:c r="A14" s="4" t="s">
        <x:v>119</x:v>
      </x:c>
      <x:c r="B14" s="4" t="s">
        <x:v>25</x:v>
      </x:c>
      <x:c r="C14" s="5" t="str">
        <x:v>2026-10-28</x:v>
      </x:c>
      <x:c r="D14" s="6" t="str">
        <x:v>Codex / Unity Test Framework</x:v>
      </x:c>
      <x:c r="E14" s="4" t="s">
        <x:v>126</x:v>
      </x:c>
      <x:c r="F14" s="6" t="str">
        <x:v>1/1 lượt Unity EditMode đạt; kết quả đúng như mong đợi.</x:v>
      </x:c>
      <x:c r="G14" s="14" t="str">
        <x:v>Pass</x:v>
      </x:c>
      <x:c r="H14" s="6" t="str">
        <x:v>TestResults/Unity_EditMode_Execution_2026-10-28.tsv</x:v>
      </x:c>
      <x:c r="I14" s="6"/>
      <x:c r="J14" s="6"/>
    </x:row>
    <x:row r="15">
      <x:c r="A15" s="4" t="s">
        <x:v>128</x:v>
      </x:c>
      <x:c r="B15" s="4" t="s">
        <x:v>25</x:v>
      </x:c>
      <x:c r="C15" s="5" t="str">
        <x:v>2026-10-28</x:v>
      </x:c>
      <x:c r="D15" s="6" t="str">
        <x:v>Codex / Unity Test Framework</x:v>
      </x:c>
      <x:c r="E15" s="4" t="s">
        <x:v>134</x:v>
      </x:c>
      <x:c r="F15" s="6" t="str">
        <x:v>1/1 lượt Unity EditMode đạt; kết quả đúng như mong đợi.</x:v>
      </x:c>
      <x:c r="G15" s="14" t="str">
        <x:v>Pass</x:v>
      </x:c>
      <x:c r="H15" s="6" t="str">
        <x:v>TestResults/Unity_EditMode_Execution_2026-10-28.tsv</x:v>
      </x:c>
      <x:c r="I15" s="6"/>
      <x:c r="J15" s="6"/>
    </x:row>
    <x:row r="16">
      <x:c r="A16" s="4" t="s">
        <x:v>136</x:v>
      </x:c>
      <x:c r="B16" s="4" t="s">
        <x:v>25</x:v>
      </x:c>
      <x:c r="C16" s="5" t="str">
        <x:v>2026-10-28</x:v>
      </x:c>
      <x:c r="D16" s="6" t="str">
        <x:v>Codex / Unity Test Framework</x:v>
      </x:c>
      <x:c r="E16" s="4" t="s">
        <x:v>141</x:v>
      </x:c>
      <x:c r="F16" s="6" t="str">
        <x:v>1/1 lượt Unity EditMode đạt; kết quả đúng như mong đợi.</x:v>
      </x:c>
      <x:c r="G16" s="14" t="str">
        <x:v>Pass</x:v>
      </x:c>
      <x:c r="H16" s="6" t="str">
        <x:v>TestResults/Unity_EditMode_Execution_2026-10-28.tsv</x:v>
      </x:c>
      <x:c r="I16" s="6"/>
      <x:c r="J16" s="6"/>
    </x:row>
    <x:row r="17">
      <x:c r="A17" s="4" t="s">
        <x:v>143</x:v>
      </x:c>
      <x:c r="B17" s="4" t="s">
        <x:v>25</x:v>
      </x:c>
      <x:c r="C17" s="5" t="str">
        <x:v>2026-10-28</x:v>
      </x:c>
      <x:c r="D17" s="6" t="str">
        <x:v>Codex / Unity Test Framework</x:v>
      </x:c>
      <x:c r="E17" s="4" t="s">
        <x:v>148</x:v>
      </x:c>
      <x:c r="F17" s="6" t="str">
        <x:v>1/1 lượt Unity EditMode đạt; kết quả đúng như mong đợi.</x:v>
      </x:c>
      <x:c r="G17" s="14" t="str">
        <x:v>Pass</x:v>
      </x:c>
      <x:c r="H17" s="6" t="str">
        <x:v>TestResults/Unity_EditMode_Execution_2026-10-28.tsv</x:v>
      </x:c>
      <x:c r="I17" s="6"/>
      <x:c r="J17" s="6"/>
    </x:row>
    <x:row r="18">
      <x:c r="A18" s="4" t="s">
        <x:v>150</x:v>
      </x:c>
      <x:c r="B18" s="4" t="s">
        <x:v>25</x:v>
      </x:c>
      <x:c r="C18" s="5" t="str">
        <x:v>2026-10-28</x:v>
      </x:c>
      <x:c r="D18" s="6" t="str">
        <x:v>Codex / Unity Test Framework</x:v>
      </x:c>
      <x:c r="E18" s="4" t="s">
        <x:v>155</x:v>
      </x:c>
      <x:c r="F18" s="6" t="str">
        <x:v>1/1 lượt Unity EditMode đạt; kết quả đúng như mong đợi.</x:v>
      </x:c>
      <x:c r="G18" s="14" t="str">
        <x:v>Pass</x:v>
      </x:c>
      <x:c r="H18" s="6" t="str">
        <x:v>TestResults/Unity_EditMode_Execution_2026-10-28.tsv</x:v>
      </x:c>
      <x:c r="I18" s="6"/>
      <x:c r="J18" s="6"/>
    </x:row>
    <x:row r="19">
      <x:c r="A19" s="4" t="s">
        <x:v>157</x:v>
      </x:c>
      <x:c r="B19" s="4" t="s">
        <x:v>25</x:v>
      </x:c>
      <x:c r="C19" s="5" t="str">
        <x:v>2026-10-28</x:v>
      </x:c>
      <x:c r="D19" s="6" t="str">
        <x:v>Codex / Unity Test Framework</x:v>
      </x:c>
      <x:c r="E19" s="4" t="s">
        <x:v>163</x:v>
      </x:c>
      <x:c r="F19" s="6" t="str">
        <x:v>1/1 lượt Unity EditMode đạt; kết quả đúng như mong đợi.</x:v>
      </x:c>
      <x:c r="G19" s="14" t="str">
        <x:v>Pass</x:v>
      </x:c>
      <x:c r="H19" s="6" t="str">
        <x:v>TestResults/Unity_EditMode_Execution_2026-10-28.tsv</x:v>
      </x:c>
      <x:c r="I19" s="6"/>
      <x:c r="J19" s="6"/>
    </x:row>
    <x:row r="20">
      <x:c r="A20" s="4" t="s">
        <x:v>165</x:v>
      </x:c>
      <x:c r="B20" s="4" t="s">
        <x:v>25</x:v>
      </x:c>
      <x:c r="C20" s="5" t="str">
        <x:v>2026-10-28</x:v>
      </x:c>
      <x:c r="D20" s="6" t="str">
        <x:v>Codex / Unity Test Framework</x:v>
      </x:c>
      <x:c r="E20" s="4" t="s">
        <x:v>171</x:v>
      </x:c>
      <x:c r="F20" s="6" t="str">
        <x:v>1/1 lượt Unity EditMode đạt; kết quả đúng như mong đợi.</x:v>
      </x:c>
      <x:c r="G20" s="14" t="str">
        <x:v>Pass</x:v>
      </x:c>
      <x:c r="H20" s="6" t="str">
        <x:v>TestResults/Unity_EditMode_Execution_2026-10-28.tsv</x:v>
      </x:c>
      <x:c r="I20" s="6"/>
      <x:c r="J20" s="6"/>
    </x:row>
    <x:row r="21" ht="15.75" customHeight="1">
      <x:c r="A21" s="4" t="s">
        <x:v>173</x:v>
      </x:c>
      <x:c r="B21" s="4" t="s">
        <x:v>25</x:v>
      </x:c>
      <x:c r="C21" s="5" t="str">
        <x:v>2026-10-28</x:v>
      </x:c>
      <x:c r="D21" s="6" t="str">
        <x:v>Codex / Unity Test Framework</x:v>
      </x:c>
      <x:c r="E21" s="4" t="s">
        <x:v>148</x:v>
      </x:c>
      <x:c r="F21" s="6" t="str">
        <x:v>1/1 lượt Unity EditMode đạt; kết quả đúng như mong đợi.</x:v>
      </x:c>
      <x:c r="G21" s="14" t="str">
        <x:v>Pass</x:v>
      </x:c>
      <x:c r="H21" s="6" t="str">
        <x:v>TestResults/Unity_EditMode_Execution_2026-10-28.tsv</x:v>
      </x:c>
      <x:c r="I21" s="6"/>
      <x:c r="J21" s="6"/>
    </x:row>
    <x:row r="22" ht="15.75" customHeight="1">
      <x:c r="A22" s="4" t="s">
        <x:v>179</x:v>
      </x:c>
      <x:c r="B22" s="4" t="s">
        <x:v>25</x:v>
      </x:c>
      <x:c r="C22" s="5" t="str">
        <x:v>2026-10-28</x:v>
      </x:c>
      <x:c r="D22" s="6" t="str">
        <x:v>Codex / Unity Test Framework</x:v>
      </x:c>
      <x:c r="E22" s="4" t="s">
        <x:v>185</x:v>
      </x:c>
      <x:c r="F22" s="6" t="str">
        <x:v>1/1 lượt Unity EditMode đạt; kết quả đúng như mong đợi.</x:v>
      </x:c>
      <x:c r="G22" s="14" t="str">
        <x:v>Pass</x:v>
      </x:c>
      <x:c r="H22" s="6" t="str">
        <x:v>TestResults/Unity_EditMode_Execution_2026-10-28.tsv</x:v>
      </x:c>
      <x:c r="I22" s="6"/>
      <x:c r="J22" s="6"/>
    </x:row>
    <x:row r="23" ht="15.75" customHeight="1">
      <x:c r="A23" s="4" t="s">
        <x:v>187</x:v>
      </x:c>
      <x:c r="B23" s="4" t="s">
        <x:v>25</x:v>
      </x:c>
      <x:c r="C23" s="5" t="str">
        <x:v>2026-10-28</x:v>
      </x:c>
      <x:c r="D23" s="6" t="str">
        <x:v>Codex / Unity Test Framework</x:v>
      </x:c>
      <x:c r="E23" s="4" t="s">
        <x:v>193</x:v>
      </x:c>
      <x:c r="F23" s="6" t="str">
        <x:v>1/1 lượt Unity EditMode đạt; kết quả đúng như mong đợi.</x:v>
      </x:c>
      <x:c r="G23" s="14" t="str">
        <x:v>Pass</x:v>
      </x:c>
      <x:c r="H23" s="6" t="str">
        <x:v>TestResults/Unity_EditMode_Execution_2026-10-28.tsv</x:v>
      </x:c>
      <x:c r="I23" s="6"/>
      <x:c r="J23" s="6"/>
    </x:row>
    <x:row r="24" ht="15.75" customHeight="1">
      <x:c r="A24" s="4" t="s">
        <x:v>195</x:v>
      </x:c>
      <x:c r="B24" s="4" t="s">
        <x:v>25</x:v>
      </x:c>
      <x:c r="C24" s="5" t="str">
        <x:v>2026-10-28</x:v>
      </x:c>
      <x:c r="D24" s="6" t="str">
        <x:v>Codex / Unity Test Framework</x:v>
      </x:c>
      <x:c r="E24" s="4" t="s">
        <x:v>202</x:v>
      </x:c>
      <x:c r="F24" s="6" t="str">
        <x:v>1/1 lượt Unity EditMode đạt; kết quả đúng như mong đợi.</x:v>
      </x:c>
      <x:c r="G24" s="14" t="str">
        <x:v>Pass</x:v>
      </x:c>
      <x:c r="H24" s="6" t="str">
        <x:v>TestResults/Unity_EditMode_Execution_2026-10-28.tsv</x:v>
      </x:c>
      <x:c r="I24" s="6"/>
      <x:c r="J24" s="6"/>
    </x:row>
    <x:row r="25" ht="15.75" customHeight="1">
      <x:c r="A25" s="4" t="s">
        <x:v>204</x:v>
      </x:c>
      <x:c r="B25" s="4" t="s">
        <x:v>25</x:v>
      </x:c>
      <x:c r="C25" s="5" t="str">
        <x:v>2026-10-28</x:v>
      </x:c>
      <x:c r="D25" s="6" t="str">
        <x:v>Codex / Unity Test Framework</x:v>
      </x:c>
      <x:c r="E25" s="4" t="s">
        <x:v>202</x:v>
      </x:c>
      <x:c r="F25" s="6" t="str">
        <x:v>1/1 lượt Unity EditMode đạt; kết quả đúng như mong đợi.</x:v>
      </x:c>
      <x:c r="G25" s="14" t="str">
        <x:v>Pass</x:v>
      </x:c>
      <x:c r="H25" s="6" t="str">
        <x:v>TestResults/Unity_EditMode_Execution_2026-10-28.tsv</x:v>
      </x:c>
      <x:c r="I25" s="6"/>
      <x:c r="J25" s="6"/>
    </x:row>
    <x:row r="26" ht="15.75" customHeight="1">
      <x:c r="A26" s="4" t="s">
        <x:v>209</x:v>
      </x:c>
      <x:c r="B26" s="4" t="s">
        <x:v>25</x:v>
      </x:c>
      <x:c r="C26" s="5" t="str">
        <x:v>2026-10-28</x:v>
      </x:c>
      <x:c r="D26" s="6" t="str">
        <x:v>Codex / Unity Test Framework</x:v>
      </x:c>
      <x:c r="E26" s="4" t="s">
        <x:v>214</x:v>
      </x:c>
      <x:c r="F26" s="6" t="str">
        <x:v>1/1 lượt Unity EditMode đạt; kết quả đúng như mong đợi.</x:v>
      </x:c>
      <x:c r="G26" s="14" t="str">
        <x:v>Pass</x:v>
      </x:c>
      <x:c r="H26" s="6" t="str">
        <x:v>TestResults/Unity_EditMode_Execution_2026-10-28.tsv</x:v>
      </x:c>
      <x:c r="I26" s="6"/>
      <x:c r="J26" s="6"/>
    </x:row>
    <x:row r="27" ht="15.75" customHeight="1">
      <x:c r="A27" s="4" t="s">
        <x:v>216</x:v>
      </x:c>
      <x:c r="B27" s="4" t="s">
        <x:v>25</x:v>
      </x:c>
      <x:c r="C27" s="5" t="str">
        <x:v>2026-10-28</x:v>
      </x:c>
      <x:c r="D27" s="6" t="str">
        <x:v>Codex / Unity Test Framework</x:v>
      </x:c>
      <x:c r="E27" s="4" t="s">
        <x:v>223</x:v>
      </x:c>
      <x:c r="F27" s="6" t="str">
        <x:v>1/1 lượt Unity EditMode đạt; kết quả đúng như mong đợi.</x:v>
      </x:c>
      <x:c r="G27" s="14" t="str">
        <x:v>Pass</x:v>
      </x:c>
      <x:c r="H27" s="6" t="str">
        <x:v>TestResults/Unity_EditMode_Execution_2026-10-28.tsv</x:v>
      </x:c>
      <x:c r="I27" s="6"/>
      <x:c r="J27" s="6"/>
    </x:row>
    <x:row r="28" ht="15.75" customHeight="1">
      <x:c r="A28" s="4" t="s">
        <x:v>225</x:v>
      </x:c>
      <x:c r="B28" s="4" t="s">
        <x:v>25</x:v>
      </x:c>
      <x:c r="C28" s="5" t="str">
        <x:v>2026-10-28</x:v>
      </x:c>
      <x:c r="D28" s="6" t="str">
        <x:v>Codex / Unity Test Framework</x:v>
      </x:c>
      <x:c r="E28" s="4" t="s">
        <x:v>231</x:v>
      </x:c>
      <x:c r="F28" s="6" t="str">
        <x:v>1/1 lượt Unity EditMode đạt; kết quả đúng như mong đợi.</x:v>
      </x:c>
      <x:c r="G28" s="14" t="str">
        <x:v>Pass</x:v>
      </x:c>
      <x:c r="H28" s="6" t="str">
        <x:v>TestResults/Unity_EditMode_Execution_2026-10-28.tsv</x:v>
      </x:c>
      <x:c r="I28" s="6"/>
      <x:c r="J28" s="6"/>
    </x:row>
    <x:row r="29" ht="15.75" customHeight="1">
      <x:c r="A29" s="4" t="s">
        <x:v>233</x:v>
      </x:c>
      <x:c r="B29" s="4" t="s">
        <x:v>25</x:v>
      </x:c>
      <x:c r="C29" s="5" t="str">
        <x:v>2026-10-28</x:v>
      </x:c>
      <x:c r="D29" s="6" t="str">
        <x:v>Codex / Unity Test Framework</x:v>
      </x:c>
      <x:c r="E29" s="4" t="s">
        <x:v>240</x:v>
      </x:c>
      <x:c r="F29" s="6" t="str">
        <x:v>1/1 lượt Unity EditMode đạt; kết quả đúng như mong đợi.</x:v>
      </x:c>
      <x:c r="G29" s="14" t="str">
        <x:v>Pass</x:v>
      </x:c>
      <x:c r="H29" s="6" t="str">
        <x:v>TestResults/Unity_EditMode_Execution_2026-10-28.tsv</x:v>
      </x:c>
      <x:c r="I29" s="6"/>
      <x:c r="J29" s="6"/>
    </x:row>
    <x:row r="30" ht="15.75" customHeight="1">
      <x:c r="A30" s="4" t="s">
        <x:v>243</x:v>
      </x:c>
      <x:c r="B30" s="4" t="s">
        <x:v>25</x:v>
      </x:c>
      <x:c r="C30" s="5" t="str">
        <x:v>2026-10-28</x:v>
      </x:c>
      <x:c r="D30" s="6" t="str">
        <x:v>Codex / Unity Test Framework</x:v>
      </x:c>
      <x:c r="E30" s="4" t="s">
        <x:v>249</x:v>
      </x:c>
      <x:c r="F30" s="6" t="str">
        <x:v>1/1 lượt Unity EditMode đạt; kết quả đúng như mong đợi.</x:v>
      </x:c>
      <x:c r="G30" s="14" t="str">
        <x:v>Pass</x:v>
      </x:c>
      <x:c r="H30" s="6" t="str">
        <x:v>TestResults/Unity_EditMode_Execution_2026-10-28.tsv</x:v>
      </x:c>
      <x:c r="I30" s="6"/>
      <x:c r="J30" s="6"/>
    </x:row>
    <x:row r="31" ht="15.75" customHeight="1">
      <x:c r="A31" s="4" t="s">
        <x:v>251</x:v>
      </x:c>
      <x:c r="B31" s="4" t="s">
        <x:v>25</x:v>
      </x:c>
      <x:c r="C31" s="5" t="str">
        <x:v>2026-10-28</x:v>
      </x:c>
      <x:c r="D31" s="6" t="str">
        <x:v>Codex / Unity Test Framework</x:v>
      </x:c>
      <x:c r="E31" s="4" t="s">
        <x:v>258</x:v>
      </x:c>
      <x:c r="F31" s="6" t="str">
        <x:v>1/1 lượt Unity EditMode đạt; kết quả đúng như mong đợi.</x:v>
      </x:c>
      <x:c r="G31" s="14" t="str">
        <x:v>Pass</x:v>
      </x:c>
      <x:c r="H31" s="6" t="str">
        <x:v>TestResults/Unity_EditMode_Execution_2026-10-28.tsv</x:v>
      </x:c>
      <x:c r="I31" s="6"/>
      <x:c r="J31" s="6" t="str">
        <x:v>Kiểm tra nhánh cấu hình điểm không dùng trong runtime hiện tại.</x:v>
      </x:c>
    </x:row>
    <x:row r="32" ht="15.75" customHeight="1">
      <x:c r="A32" s="4" t="s">
        <x:v>260</x:v>
      </x:c>
      <x:c r="B32" s="4" t="s">
        <x:v>25</x:v>
      </x:c>
      <x:c r="C32" s="5" t="str">
        <x:v>2026-10-28</x:v>
      </x:c>
      <x:c r="D32" s="6" t="str">
        <x:v>Codex / Unity Test Framework</x:v>
      </x:c>
      <x:c r="E32" s="4" t="s">
        <x:v>267</x:v>
      </x:c>
      <x:c r="F32" s="6" t="str">
        <x:v>1/1 lượt Unity EditMode đạt; kết quả đúng như mong đợi.</x:v>
      </x:c>
      <x:c r="G32" s="14" t="str">
        <x:v>Pass</x:v>
      </x:c>
      <x:c r="H32" s="6" t="str">
        <x:v>TestResults/Unity_EditMode_Execution_2026-10-28.tsv</x:v>
      </x:c>
      <x:c r="I32" s="6"/>
      <x:c r="J32" s="6"/>
    </x:row>
    <x:row r="33" ht="15.75" customHeight="1">
      <x:c r="A33" s="4" t="s">
        <x:v>269</x:v>
      </x:c>
      <x:c r="B33" s="4" t="s">
        <x:v>25</x:v>
      </x:c>
      <x:c r="C33" s="5" t="str">
        <x:v>2026-10-28</x:v>
      </x:c>
      <x:c r="D33" s="6" t="str">
        <x:v>Codex / Unity Test Framework</x:v>
      </x:c>
      <x:c r="E33" s="4" t="s">
        <x:v>273</x:v>
      </x:c>
      <x:c r="F33" s="6" t="str">
        <x:v>1/1 lượt Unity EditMode đạt; kết quả đúng như mong đợi.</x:v>
      </x:c>
      <x:c r="G33" s="14" t="str">
        <x:v>Pass</x:v>
      </x:c>
      <x:c r="H33" s="6" t="str">
        <x:v>TestResults/Unity_EditMode_Execution_2026-10-28.tsv</x:v>
      </x:c>
      <x:c r="I33" s="6"/>
      <x:c r="J33" s="6"/>
    </x:row>
    <x:row r="34" ht="15.75" customHeight="1">
      <x:c r="A34" s="4" t="s">
        <x:v>275</x:v>
      </x:c>
      <x:c r="B34" s="4" t="s">
        <x:v>25</x:v>
      </x:c>
      <x:c r="C34" s="5" t="str">
        <x:v>2026-10-28</x:v>
      </x:c>
      <x:c r="D34" s="6" t="str">
        <x:v>Codex / Unity Test Framework</x:v>
      </x:c>
      <x:c r="E34" s="4" t="s">
        <x:v>281</x:v>
      </x:c>
      <x:c r="F34" s="6" t="str">
        <x:v>1/1 lượt Unity EditMode đạt; kết quả đúng như mong đợi.</x:v>
      </x:c>
      <x:c r="G34" s="14" t="str">
        <x:v>Pass</x:v>
      </x:c>
      <x:c r="H34" s="6" t="str">
        <x:v>TestResults/Unity_EditMode_Execution_2026-10-28.tsv</x:v>
      </x:c>
      <x:c r="I34" s="6"/>
      <x:c r="J34" s="6"/>
    </x:row>
    <x:row r="35" ht="15.75" customHeight="1">
      <x:c r="A35" s="4" t="s">
        <x:v>283</x:v>
      </x:c>
      <x:c r="B35" s="4" t="s">
        <x:v>25</x:v>
      </x:c>
      <x:c r="C35" s="5" t="str">
        <x:v>2026-10-28</x:v>
      </x:c>
      <x:c r="D35" s="6" t="str">
        <x:v>Codex / Unity Test Framework</x:v>
      </x:c>
      <x:c r="E35" s="4" t="s">
        <x:v>289</x:v>
      </x:c>
      <x:c r="F35" s="6" t="str">
        <x:v>1/1 lượt Unity EditMode đạt; kết quả đúng như mong đợi.</x:v>
      </x:c>
      <x:c r="G35" s="14" t="str">
        <x:v>Pass</x:v>
      </x:c>
      <x:c r="H35" s="6" t="str">
        <x:v>TestResults/Unity_EditMode_Execution_2026-10-28.tsv</x:v>
      </x:c>
      <x:c r="I35" s="6"/>
      <x:c r="J35" s="6"/>
    </x:row>
    <x:row r="36" ht="15.75" customHeight="1">
      <x:c r="A36" s="4" t="s">
        <x:v>291</x:v>
      </x:c>
      <x:c r="B36" s="4" t="s">
        <x:v>25</x:v>
      </x:c>
      <x:c r="C36" s="5" t="str">
        <x:v>2026-10-28</x:v>
      </x:c>
      <x:c r="D36" s="6" t="str">
        <x:v>Codex / Unity Test Framework</x:v>
      </x:c>
      <x:c r="E36" s="4" t="s">
        <x:v>295</x:v>
      </x:c>
      <x:c r="F36" s="6" t="str">
        <x:v>1/1 lượt Unity EditMode đạt; kết quả đúng như mong đợi.</x:v>
      </x:c>
      <x:c r="G36" s="14" t="str">
        <x:v>Pass</x:v>
      </x:c>
      <x:c r="H36" s="6" t="str">
        <x:v>TestResults/Unity_EditMode_Execution_2026-10-28.tsv</x:v>
      </x:c>
      <x:c r="I36" s="6"/>
      <x:c r="J36" s="6"/>
    </x:row>
    <x:row r="37" ht="15.75" customHeight="1">
      <x:c r="A37" s="4" t="s">
        <x:v>297</x:v>
      </x:c>
      <x:c r="B37" s="4" t="s">
        <x:v>25</x:v>
      </x:c>
      <x:c r="C37" s="5" t="str">
        <x:v>2026-10-28</x:v>
      </x:c>
      <x:c r="D37" s="6" t="str">
        <x:v>Codex / Unity Test Framework</x:v>
      </x:c>
      <x:c r="E37" s="4" t="s">
        <x:v>302</x:v>
      </x:c>
      <x:c r="F37" s="6" t="str">
        <x:v>1/1 lượt Unity EditMode đạt; kết quả đúng như mong đợi.</x:v>
      </x:c>
      <x:c r="G37" s="14" t="str">
        <x:v>Pass</x:v>
      </x:c>
      <x:c r="H37" s="6" t="str">
        <x:v>TestResults/Unity_EditMode_Execution_2026-10-28.tsv</x:v>
      </x:c>
      <x:c r="I37" s="6"/>
      <x:c r="J37" s="6"/>
    </x:row>
    <x:row r="38" ht="15.75" customHeight="1">
      <x:c r="A38" s="4" t="s">
        <x:v>304</x:v>
      </x:c>
      <x:c r="B38" s="4" t="s">
        <x:v>25</x:v>
      </x:c>
      <x:c r="C38" s="5" t="str">
        <x:v>2026-10-28</x:v>
      </x:c>
      <x:c r="D38" s="6" t="str">
        <x:v>Codex / Unity Test Framework</x:v>
      </x:c>
      <x:c r="E38" s="4" t="s">
        <x:v>311</x:v>
      </x:c>
      <x:c r="F38" s="6" t="str">
        <x:v>16/16 lượt Unity EditMode đạt; kết quả đúng như mong đợi.</x:v>
      </x:c>
      <x:c r="G38" s="14" t="str">
        <x:v>Pass</x:v>
      </x:c>
      <x:c r="H38" s="6" t="str">
        <x:v>TestResults/Unity_EditMode_Execution_2026-10-28.tsv</x:v>
      </x:c>
      <x:c r="I38" s="6"/>
      <x:c r="J38" s="6" t="str">
        <x:v>So sánh công thức trên 16 bộ dữ liệu; chưa phải kiểm thử tích hợp trực tiếp LevelManager.</x:v>
      </x:c>
    </x:row>
    <x:row r="39" ht="15.75" customHeight="1">
      <x:c r="A39" s="4" t="s">
        <x:v>314</x:v>
      </x:c>
      <x:c r="B39" s="4" t="s">
        <x:v>25</x:v>
      </x:c>
      <x:c r="C39" s="5" t="str">
        <x:v>2026-10-28</x:v>
      </x:c>
      <x:c r="D39" s="6" t="str">
        <x:v>Codex / Unity Test Framework</x:v>
      </x:c>
      <x:c r="E39" s="4" t="s">
        <x:v>321</x:v>
      </x:c>
      <x:c r="F39" s="6" t="str">
        <x:v>2/2 lượt Unity EditMode đạt; kết quả đúng như mong đợi.</x:v>
      </x:c>
      <x:c r="G39" s="14" t="str">
        <x:v>Pass</x:v>
      </x:c>
      <x:c r="H39" s="6" t="str">
        <x:v>TestResults/Unity_EditMode_Execution_2026-10-28.tsv</x:v>
      </x:c>
      <x:c r="I39" s="6"/>
      <x:c r="J39" s="6"/>
    </x:row>
    <x:row r="40" ht="15.75" customHeight="1">
      <x:c r="A40" s="4" t="s">
        <x:v>323</x:v>
      </x:c>
      <x:c r="B40" s="4" t="s">
        <x:v>25</x:v>
      </x:c>
      <x:c r="C40" s="5" t="str">
        <x:v>2026-10-28</x:v>
      </x:c>
      <x:c r="D40" s="6" t="str">
        <x:v>Codex / Unity Test Framework</x:v>
      </x:c>
      <x:c r="E40" s="4" t="s">
        <x:v>330</x:v>
      </x:c>
      <x:c r="F40" s="6" t="str">
        <x:v>1/1 lượt Unity EditMode đạt; kết quả đúng như mong đợi.</x:v>
      </x:c>
      <x:c r="G40" s="14" t="str">
        <x:v>Pass</x:v>
      </x:c>
      <x:c r="H40" s="6" t="str">
        <x:v>TestResults/Unity_EditMode_Execution_2026-10-28.tsv</x:v>
      </x:c>
      <x:c r="I40" s="6"/>
      <x:c r="J40" s="6"/>
    </x:row>
    <x:row r="41" ht="15.75" customHeight="1">
      <x:c r="A41" s="4" t="s">
        <x:v>332</x:v>
      </x:c>
      <x:c r="B41" s="4" t="s">
        <x:v>25</x:v>
      </x:c>
      <x:c r="C41" s="5" t="str">
        <x:v>2026-10-28</x:v>
      </x:c>
      <x:c r="D41" s="6" t="str">
        <x:v>Codex / Unity Test Framework</x:v>
      </x:c>
      <x:c r="E41" s="4" t="s">
        <x:v>338</x:v>
      </x:c>
      <x:c r="F41" s="6" t="str">
        <x:v>1/1 lượt Unity EditMode đạt; kết quả đúng như mong đợi.</x:v>
      </x:c>
      <x:c r="G41" s="14" t="str">
        <x:v>Pass</x:v>
      </x:c>
      <x:c r="H41" s="6" t="str">
        <x:v>TestResults/Unity_EditMode_Execution_2026-10-28.tsv</x:v>
      </x:c>
      <x:c r="I41" s="6"/>
      <x:c r="J41" s="6"/>
    </x:row>
    <x:row r="42" ht="15.75" customHeight="1">
      <x:c r="A42" s="4" t="s">
        <x:v>340</x:v>
      </x:c>
      <x:c r="B42" s="4" t="s">
        <x:v>25</x:v>
      </x:c>
      <x:c r="C42" s="5" t="str">
        <x:v>2026-10-28</x:v>
      </x:c>
      <x:c r="D42" s="6" t="str">
        <x:v>Codex / Unity Test Framework</x:v>
      </x:c>
      <x:c r="E42" s="4" t="s">
        <x:v>346</x:v>
      </x:c>
      <x:c r="F42" s="6" t="str">
        <x:v>1/1 lượt Unity EditMode đạt; kết quả đúng như mong đợi.</x:v>
      </x:c>
      <x:c r="G42" s="14" t="str">
        <x:v>Pass</x:v>
      </x:c>
      <x:c r="H42" s="6" t="str">
        <x:v>TestResults/Unity_EditMode_Execution_2026-10-28.tsv</x:v>
      </x:c>
      <x:c r="I42" s="6"/>
      <x:c r="J42" s="6"/>
    </x:row>
    <x:row r="43" ht="15.75" customHeight="1">
      <x:c r="A43" s="4" t="s">
        <x:v>348</x:v>
      </x:c>
      <x:c r="B43" s="4" t="s">
        <x:v>25</x:v>
      </x:c>
      <x:c r="C43" s="5" t="str">
        <x:v>2026-10-28</x:v>
      </x:c>
      <x:c r="D43" s="6" t="str">
        <x:v>Codex / Unity Test Framework</x:v>
      </x:c>
      <x:c r="E43" s="4" t="s">
        <x:v>353</x:v>
      </x:c>
      <x:c r="F43" s="6" t="str">
        <x:v>2/2 lượt Unity EditMode đạt; kết quả đúng như mong đợi.</x:v>
      </x:c>
      <x:c r="G43" s="14" t="str">
        <x:v>Pass</x:v>
      </x:c>
      <x:c r="H43" s="6" t="str">
        <x:v>TestResults/Unity_EditMode_Execution_2026-10-28.tsv</x:v>
      </x:c>
      <x:c r="I43" s="6"/>
      <x:c r="J43" s="6"/>
    </x:row>
    <x:row r="44" ht="15.75" customHeight="1">
      <x:c r="A44" s="4" t="s">
        <x:v>357</x:v>
      </x:c>
      <x:c r="B44" s="4" t="s">
        <x:v>365</x:v>
      </x:c>
      <x:c r="C44" s="5"/>
      <x:c r="D44" s="6"/>
      <x:c r="E44" s="4" t="s">
        <x:v>364</x:v>
      </x:c>
      <x:c r="F44" s="6"/>
      <x:c r="G44" s="6" t="s">
        <x:v>28</x:v>
      </x:c>
      <x:c r="H44" s="6"/>
      <x:c r="I44" s="6"/>
      <x:c r="J44" s="6"/>
    </x:row>
    <x:row r="45" ht="15.75" customHeight="1">
      <x:c r="A45" s="4" t="s">
        <x:v>372</x:v>
      </x:c>
      <x:c r="B45" s="4" t="s">
        <x:v>365</x:v>
      </x:c>
      <x:c r="C45" s="5"/>
      <x:c r="D45" s="6"/>
      <x:c r="E45" s="4" t="s">
        <x:v>378</x:v>
      </x:c>
      <x:c r="F45" s="6"/>
      <x:c r="G45" s="6" t="s">
        <x:v>28</x:v>
      </x:c>
      <x:c r="H45" s="6"/>
      <x:c r="I45" s="6"/>
      <x:c r="J45" s="6"/>
    </x:row>
    <x:row r="46" ht="15.75" customHeight="1">
      <x:c r="A46" s="4" t="s">
        <x:v>379</x:v>
      </x:c>
      <x:c r="B46" s="4" t="s">
        <x:v>365</x:v>
      </x:c>
      <x:c r="C46" s="5"/>
      <x:c r="D46" s="6"/>
      <x:c r="E46" s="4" t="s">
        <x:v>385</x:v>
      </x:c>
      <x:c r="F46" s="6"/>
      <x:c r="G46" s="6" t="s">
        <x:v>28</x:v>
      </x:c>
      <x:c r="H46" s="6"/>
      <x:c r="I46" s="6"/>
      <x:c r="J46" s="6"/>
    </x:row>
    <x:row r="47" ht="15.75" customHeight="1">
      <x:c r="A47" s="4" t="s">
        <x:v>386</x:v>
      </x:c>
      <x:c r="B47" s="4" t="s">
        <x:v>365</x:v>
      </x:c>
      <x:c r="C47" s="5"/>
      <x:c r="D47" s="6"/>
      <x:c r="E47" s="4" t="s">
        <x:v>392</x:v>
      </x:c>
      <x:c r="F47" s="6"/>
      <x:c r="G47" s="6" t="s">
        <x:v>28</x:v>
      </x:c>
      <x:c r="H47" s="6"/>
      <x:c r="I47" s="6"/>
      <x:c r="J47" s="6"/>
    </x:row>
    <x:row r="48" ht="15.75" customHeight="1">
      <x:c r="A48" s="4" t="s">
        <x:v>394</x:v>
      </x:c>
      <x:c r="B48" s="4" t="s">
        <x:v>365</x:v>
      </x:c>
      <x:c r="C48" s="5"/>
      <x:c r="D48" s="6"/>
      <x:c r="E48" s="4" t="s">
        <x:v>400</x:v>
      </x:c>
      <x:c r="F48" s="6"/>
      <x:c r="G48" s="6" t="s">
        <x:v>28</x:v>
      </x:c>
      <x:c r="H48" s="6"/>
      <x:c r="I48" s="6"/>
      <x:c r="J48" s="6"/>
    </x:row>
    <x:row r="49" ht="15.75" customHeight="1">
      <x:c r="A49" s="4" t="s">
        <x:v>401</x:v>
      </x:c>
      <x:c r="B49" s="4" t="s">
        <x:v>365</x:v>
      </x:c>
      <x:c r="C49" s="5"/>
      <x:c r="D49" s="6"/>
      <x:c r="E49" s="4" t="s">
        <x:v>408</x:v>
      </x:c>
      <x:c r="F49" s="6"/>
      <x:c r="G49" s="6" t="s">
        <x:v>28</x:v>
      </x:c>
      <x:c r="H49" s="6"/>
      <x:c r="I49" s="6"/>
      <x:c r="J49" s="6"/>
    </x:row>
    <x:row r="50" ht="15.75" customHeight="1">
      <x:c r="A50" s="4" t="s">
        <x:v>409</x:v>
      </x:c>
      <x:c r="B50" s="4" t="s">
        <x:v>365</x:v>
      </x:c>
      <x:c r="C50" s="5"/>
      <x:c r="D50" s="6"/>
      <x:c r="E50" s="4" t="s">
        <x:v>415</x:v>
      </x:c>
      <x:c r="F50" s="6"/>
      <x:c r="G50" s="6" t="s">
        <x:v>28</x:v>
      </x:c>
      <x:c r="H50" s="6"/>
      <x:c r="I50" s="6"/>
      <x:c r="J50" s="6"/>
    </x:row>
    <x:row r="51" ht="15.75" customHeight="1">
      <x:c r="A51" s="4" t="s">
        <x:v>416</x:v>
      </x:c>
      <x:c r="B51" s="4" t="s">
        <x:v>365</x:v>
      </x:c>
      <x:c r="C51" s="5"/>
      <x:c r="D51" s="6"/>
      <x:c r="E51" s="4" t="s">
        <x:v>421</x:v>
      </x:c>
      <x:c r="F51" s="6"/>
      <x:c r="G51" s="6" t="s">
        <x:v>28</x:v>
      </x:c>
      <x:c r="H51" s="6"/>
      <x:c r="I51" s="6"/>
      <x:c r="J51" s="6"/>
    </x:row>
    <x:row r="52" ht="15.75" customHeight="1">
      <x:c r="A52" s="4" t="s">
        <x:v>422</x:v>
      </x:c>
      <x:c r="B52" s="4" t="s">
        <x:v>365</x:v>
      </x:c>
      <x:c r="C52" s="5"/>
      <x:c r="D52" s="6"/>
      <x:c r="E52" s="4" t="s">
        <x:v>428</x:v>
      </x:c>
      <x:c r="F52" s="6"/>
      <x:c r="G52" s="6" t="s">
        <x:v>28</x:v>
      </x:c>
      <x:c r="H52" s="6"/>
      <x:c r="I52" s="6"/>
      <x:c r="J52" s="6"/>
    </x:row>
    <x:row r="53" ht="15.75" customHeight="1">
      <x:c r="A53" s="4" t="s">
        <x:v>429</x:v>
      </x:c>
      <x:c r="B53" s="4" t="s">
        <x:v>365</x:v>
      </x:c>
      <x:c r="C53" s="5"/>
      <x:c r="D53" s="6"/>
      <x:c r="E53" s="4" t="s">
        <x:v>435</x:v>
      </x:c>
      <x:c r="F53" s="6"/>
      <x:c r="G53" s="6" t="s">
        <x:v>28</x:v>
      </x:c>
      <x:c r="H53" s="6"/>
      <x:c r="I53" s="6"/>
      <x:c r="J53" s="6"/>
    </x:row>
    <x:row r="54" ht="15.75" customHeight="1">
      <x:c r="A54" s="4" t="s">
        <x:v>436</x:v>
      </x:c>
      <x:c r="B54" s="4" t="s">
        <x:v>365</x:v>
      </x:c>
      <x:c r="C54" s="5"/>
      <x:c r="D54" s="6"/>
      <x:c r="E54" s="4" t="s">
        <x:v>441</x:v>
      </x:c>
      <x:c r="F54" s="6"/>
      <x:c r="G54" s="6" t="s">
        <x:v>28</x:v>
      </x:c>
      <x:c r="H54" s="6"/>
      <x:c r="I54" s="6"/>
      <x:c r="J54" s="6"/>
    </x:row>
    <x:row r="55" ht="15.75" customHeight="1">
      <x:c r="A55" s="4" t="s">
        <x:v>442</x:v>
      </x:c>
      <x:c r="B55" s="4" t="s">
        <x:v>365</x:v>
      </x:c>
      <x:c r="C55" s="5"/>
      <x:c r="D55" s="6"/>
      <x:c r="E55" s="4" t="s">
        <x:v>448</x:v>
      </x:c>
      <x:c r="F55" s="6"/>
      <x:c r="G55" s="6" t="s">
        <x:v>28</x:v>
      </x:c>
      <x:c r="H55" s="6"/>
      <x:c r="I55" s="6"/>
      <x:c r="J55" s="6"/>
    </x:row>
    <x:row r="56" ht="15.75" customHeight="1">
      <x:c r="A56" s="4" t="s">
        <x:v>450</x:v>
      </x:c>
      <x:c r="B56" s="4" t="s">
        <x:v>365</x:v>
      </x:c>
      <x:c r="C56" s="5"/>
      <x:c r="D56" s="6"/>
      <x:c r="E56" s="4" t="s">
        <x:v>455</x:v>
      </x:c>
      <x:c r="F56" s="6"/>
      <x:c r="G56" s="6" t="s">
        <x:v>28</x:v>
      </x:c>
      <x:c r="H56" s="6"/>
      <x:c r="I56" s="6"/>
      <x:c r="J56" s="6"/>
    </x:row>
    <x:row r="57" ht="15.75" customHeight="1">
      <x:c r="A57" s="4" t="s">
        <x:v>456</x:v>
      </x:c>
      <x:c r="B57" s="4" t="s">
        <x:v>365</x:v>
      </x:c>
      <x:c r="C57" s="5"/>
      <x:c r="D57" s="6"/>
      <x:c r="E57" s="4" t="s">
        <x:v>461</x:v>
      </x:c>
      <x:c r="F57" s="6"/>
      <x:c r="G57" s="6" t="s">
        <x:v>28</x:v>
      </x:c>
      <x:c r="H57" s="6"/>
      <x:c r="I57" s="6"/>
      <x:c r="J57" s="6"/>
    </x:row>
    <x:row r="58" ht="15.75" customHeight="1">
      <x:c r="A58" s="4" t="s">
        <x:v>462</x:v>
      </x:c>
      <x:c r="B58" s="4" t="s">
        <x:v>365</x:v>
      </x:c>
      <x:c r="C58" s="5"/>
      <x:c r="D58" s="6"/>
      <x:c r="E58" s="4" t="s">
        <x:v>468</x:v>
      </x:c>
      <x:c r="F58" s="6"/>
      <x:c r="G58" s="6" t="s">
        <x:v>28</x:v>
      </x:c>
      <x:c r="H58" s="6"/>
      <x:c r="I58" s="6"/>
      <x:c r="J58" s="6"/>
    </x:row>
    <x:row r="59" ht="15.75" customHeight="1">
      <x:c r="A59" s="4" t="s">
        <x:v>470</x:v>
      </x:c>
      <x:c r="B59" s="4" t="s">
        <x:v>365</x:v>
      </x:c>
      <x:c r="C59" s="5"/>
      <x:c r="D59" s="6"/>
      <x:c r="E59" s="4" t="s">
        <x:v>474</x:v>
      </x:c>
      <x:c r="F59" s="6"/>
      <x:c r="G59" s="6" t="s">
        <x:v>28</x:v>
      </x:c>
      <x:c r="H59" s="6"/>
      <x:c r="I59" s="6"/>
      <x:c r="J59" s="6"/>
    </x:row>
    <x:row r="60" ht="15.75" customHeight="1">
      <x:c r="A60" s="4" t="s">
        <x:v>475</x:v>
      </x:c>
      <x:c r="B60" s="4" t="s">
        <x:v>365</x:v>
      </x:c>
      <x:c r="C60" s="5"/>
      <x:c r="D60" s="6"/>
      <x:c r="E60" s="4" t="s">
        <x:v>480</x:v>
      </x:c>
      <x:c r="F60" s="6"/>
      <x:c r="G60" s="6" t="s">
        <x:v>28</x:v>
      </x:c>
      <x:c r="H60" s="6"/>
      <x:c r="I60" s="6"/>
      <x:c r="J60" s="6"/>
    </x:row>
    <x:row r="61" ht="15.75" customHeight="1">
      <x:c r="A61" s="4" t="s">
        <x:v>481</x:v>
      </x:c>
      <x:c r="B61" s="4" t="s">
        <x:v>365</x:v>
      </x:c>
      <x:c r="C61" s="5"/>
      <x:c r="D61" s="6"/>
      <x:c r="E61" s="4" t="s">
        <x:v>486</x:v>
      </x:c>
      <x:c r="F61" s="6"/>
      <x:c r="G61" s="6" t="s">
        <x:v>28</x:v>
      </x:c>
      <x:c r="H61" s="6"/>
      <x:c r="I61" s="6"/>
      <x:c r="J61" s="6"/>
    </x:row>
    <x:row r="62" ht="15.75" customHeight="1">
      <x:c r="A62" s="4" t="s">
        <x:v>487</x:v>
      </x:c>
      <x:c r="B62" s="4" t="s">
        <x:v>365</x:v>
      </x:c>
      <x:c r="C62" s="5"/>
      <x:c r="D62" s="6"/>
      <x:c r="E62" s="4" t="s">
        <x:v>492</x:v>
      </x:c>
      <x:c r="F62" s="6"/>
      <x:c r="G62" s="6" t="s">
        <x:v>28</x:v>
      </x:c>
      <x:c r="H62" s="6"/>
      <x:c r="I62" s="6"/>
      <x:c r="J62" s="6"/>
    </x:row>
    <x:row r="63" ht="15.75" customHeight="1">
      <x:c r="A63" s="4" t="s">
        <x:v>493</x:v>
      </x:c>
      <x:c r="B63" s="4" t="s">
        <x:v>365</x:v>
      </x:c>
      <x:c r="C63" s="5"/>
      <x:c r="D63" s="6"/>
      <x:c r="E63" s="4" t="s">
        <x:v>499</x:v>
      </x:c>
      <x:c r="F63" s="6"/>
      <x:c r="G63" s="6" t="s">
        <x:v>28</x:v>
      </x:c>
      <x:c r="H63" s="6"/>
      <x:c r="I63" s="6"/>
      <x:c r="J63" s="6"/>
    </x:row>
    <x:row r="64" ht="15.75" customHeight="1">
      <x:c r="A64" s="4" t="s">
        <x:v>500</x:v>
      </x:c>
      <x:c r="B64" s="4" t="s">
        <x:v>365</x:v>
      </x:c>
      <x:c r="C64" s="5"/>
      <x:c r="D64" s="6"/>
      <x:c r="E64" s="4" t="s">
        <x:v>506</x:v>
      </x:c>
      <x:c r="F64" s="6"/>
      <x:c r="G64" s="6" t="s">
        <x:v>28</x:v>
      </x:c>
      <x:c r="H64" s="6"/>
      <x:c r="I64" s="6"/>
      <x:c r="J64" s="6"/>
    </x:row>
    <x:row r="65" ht="15.75" customHeight="1">
      <x:c r="A65" s="4" t="s">
        <x:v>507</x:v>
      </x:c>
      <x:c r="B65" s="4" t="s">
        <x:v>365</x:v>
      </x:c>
      <x:c r="C65" s="5"/>
      <x:c r="D65" s="6"/>
      <x:c r="E65" s="4" t="s">
        <x:v>512</x:v>
      </x:c>
      <x:c r="F65" s="6"/>
      <x:c r="G65" s="6" t="s">
        <x:v>28</x:v>
      </x:c>
      <x:c r="H65" s="6"/>
      <x:c r="I65" s="6"/>
      <x:c r="J65" s="6"/>
    </x:row>
    <x:row r="66" ht="15.75" customHeight="1">
      <x:c r="A66" s="4" t="s">
        <x:v>513</x:v>
      </x:c>
      <x:c r="B66" s="4" t="s">
        <x:v>365</x:v>
      </x:c>
      <x:c r="C66" s="5"/>
      <x:c r="D66" s="6"/>
      <x:c r="E66" s="4" t="s">
        <x:v>519</x:v>
      </x:c>
      <x:c r="F66" s="6"/>
      <x:c r="G66" s="6" t="s">
        <x:v>28</x:v>
      </x:c>
      <x:c r="H66" s="6"/>
      <x:c r="I66" s="6"/>
      <x:c r="J66" s="6"/>
    </x:row>
    <x:row r="67" ht="15.75" customHeight="1">
      <x:c r="A67" s="4" t="s">
        <x:v>520</x:v>
      </x:c>
      <x:c r="B67" s="4" t="s">
        <x:v>365</x:v>
      </x:c>
      <x:c r="C67" s="5"/>
      <x:c r="D67" s="6"/>
      <x:c r="E67" s="4" t="s">
        <x:v>527</x:v>
      </x:c>
      <x:c r="F67" s="6"/>
      <x:c r="G67" s="6" t="s">
        <x:v>28</x:v>
      </x:c>
      <x:c r="H67" s="6"/>
      <x:c r="I67" s="6"/>
      <x:c r="J67" s="6"/>
    </x:row>
    <x:row r="68" ht="15.75" customHeight="1">
      <x:c r="A68" s="4" t="s">
        <x:v>529</x:v>
      </x:c>
      <x:c r="B68" s="4" t="s">
        <x:v>365</x:v>
      </x:c>
      <x:c r="C68" s="5"/>
      <x:c r="D68" s="6"/>
      <x:c r="E68" s="4" t="s">
        <x:v>532</x:v>
      </x:c>
      <x:c r="F68" s="6"/>
      <x:c r="G68" s="6" t="s">
        <x:v>28</x:v>
      </x:c>
      <x:c r="H68" s="6"/>
      <x:c r="I68" s="6"/>
      <x:c r="J68" s="6"/>
    </x:row>
    <x:row r="69" ht="15.75" customHeight="1">
      <x:c r="A69" s="4" t="s">
        <x:v>533</x:v>
      </x:c>
      <x:c r="B69" s="4" t="s">
        <x:v>365</x:v>
      </x:c>
      <x:c r="C69" s="5"/>
      <x:c r="D69" s="6"/>
      <x:c r="E69" s="4" t="s">
        <x:v>539</x:v>
      </x:c>
      <x:c r="F69" s="6"/>
      <x:c r="G69" s="6" t="s">
        <x:v>28</x:v>
      </x:c>
      <x:c r="H69" s="6"/>
      <x:c r="I69" s="6"/>
      <x:c r="J69" s="6"/>
    </x:row>
    <x:row r="70" ht="15.75" customHeight="1">
      <x:c r="A70" s="4" t="s">
        <x:v>541</x:v>
      </x:c>
      <x:c r="B70" s="4" t="s">
        <x:v>365</x:v>
      </x:c>
      <x:c r="C70" s="5"/>
      <x:c r="D70" s="6"/>
      <x:c r="E70" s="4" t="s">
        <x:v>547</x:v>
      </x:c>
      <x:c r="F70" s="6"/>
      <x:c r="G70" s="6" t="s">
        <x:v>28</x:v>
      </x:c>
      <x:c r="H70" s="6"/>
      <x:c r="I70" s="6"/>
      <x:c r="J70" s="6"/>
    </x:row>
    <x:row r="71" ht="15.75" customHeight="1">
      <x:c r="A71" s="4" t="s">
        <x:v>548</x:v>
      </x:c>
      <x:c r="B71" s="4" t="s">
        <x:v>365</x:v>
      </x:c>
      <x:c r="C71" s="5"/>
      <x:c r="D71" s="6"/>
      <x:c r="E71" s="4" t="s">
        <x:v>554</x:v>
      </x:c>
      <x:c r="F71" s="6"/>
      <x:c r="G71" s="6" t="s">
        <x:v>28</x:v>
      </x:c>
      <x:c r="H71" s="6"/>
      <x:c r="I71" s="6"/>
      <x:c r="J71" s="6"/>
    </x:row>
    <x:row r="72" ht="15.75" customHeight="1">
      <x:c r="A72" s="4" t="s">
        <x:v>555</x:v>
      </x:c>
      <x:c r="B72" s="4" t="s">
        <x:v>365</x:v>
      </x:c>
      <x:c r="C72" s="5"/>
      <x:c r="D72" s="6"/>
      <x:c r="E72" s="4" t="s">
        <x:v>561</x:v>
      </x:c>
      <x:c r="F72" s="6"/>
      <x:c r="G72" s="6" t="s">
        <x:v>28</x:v>
      </x:c>
      <x:c r="H72" s="6"/>
      <x:c r="I72" s="6"/>
      <x:c r="J72" s="6"/>
    </x:row>
    <x:row r="73" ht="15.75" customHeight="1">
      <x:c r="A73" s="4" t="s">
        <x:v>562</x:v>
      </x:c>
      <x:c r="B73" s="4" t="s">
        <x:v>365</x:v>
      </x:c>
      <x:c r="C73" s="5"/>
      <x:c r="D73" s="6"/>
      <x:c r="E73" s="4" t="s">
        <x:v>568</x:v>
      </x:c>
      <x:c r="F73" s="6"/>
      <x:c r="G73" s="6" t="s">
        <x:v>28</x:v>
      </x:c>
      <x:c r="H73" s="6"/>
      <x:c r="I73" s="6"/>
      <x:c r="J73" s="6"/>
    </x:row>
    <x:row r="74" ht="15.75" customHeight="1">
      <x:c r="A74" s="4" t="s">
        <x:v>569</x:v>
      </x:c>
      <x:c r="B74" s="4" t="s">
        <x:v>365</x:v>
      </x:c>
      <x:c r="C74" s="5"/>
      <x:c r="D74" s="6"/>
      <x:c r="E74" s="4" t="s">
        <x:v>575</x:v>
      </x:c>
      <x:c r="F74" s="6"/>
      <x:c r="G74" s="6" t="s">
        <x:v>28</x:v>
      </x:c>
      <x:c r="H74" s="6"/>
      <x:c r="I74" s="6"/>
      <x:c r="J74" s="6"/>
    </x:row>
    <x:row r="75" ht="15.75" customHeight="1">
      <x:c r="A75" s="4" t="s">
        <x:v>576</x:v>
      </x:c>
      <x:c r="B75" s="4" t="s">
        <x:v>365</x:v>
      </x:c>
      <x:c r="C75" s="5"/>
      <x:c r="D75" s="6"/>
      <x:c r="E75" s="4" t="s">
        <x:v>583</x:v>
      </x:c>
      <x:c r="F75" s="6"/>
      <x:c r="G75" s="6" t="s">
        <x:v>28</x:v>
      </x:c>
      <x:c r="H75" s="6"/>
      <x:c r="I75" s="6"/>
      <x:c r="J75" s="6"/>
    </x:row>
    <x:row r="76" ht="15.75" customHeight="1">
      <x:c r="A76" s="4" t="s">
        <x:v>585</x:v>
      </x:c>
      <x:c r="B76" s="4" t="s">
        <x:v>365</x:v>
      </x:c>
      <x:c r="C76" s="5"/>
      <x:c r="D76" s="6"/>
      <x:c r="E76" s="4" t="s">
        <x:v>590</x:v>
      </x:c>
      <x:c r="F76" s="6"/>
      <x:c r="G76" s="6" t="s">
        <x:v>28</x:v>
      </x:c>
      <x:c r="H76" s="6"/>
      <x:c r="I76" s="6"/>
      <x:c r="J76" s="6"/>
    </x:row>
    <x:row r="77" ht="15.75" customHeight="1">
      <x:c r="A77" s="4" t="s">
        <x:v>592</x:v>
      </x:c>
      <x:c r="B77" s="4" t="s">
        <x:v>365</x:v>
      </x:c>
      <x:c r="C77" s="5"/>
      <x:c r="D77" s="6"/>
      <x:c r="E77" s="4" t="s">
        <x:v>599</x:v>
      </x:c>
      <x:c r="F77" s="6"/>
      <x:c r="G77" s="6" t="s">
        <x:v>28</x:v>
      </x:c>
      <x:c r="H77" s="6"/>
      <x:c r="I77" s="6"/>
      <x:c r="J77" s="6"/>
    </x:row>
    <x:row r="78" ht="15.75" customHeight="1">
      <x:c r="A78" s="4" t="s">
        <x:v>600</x:v>
      </x:c>
      <x:c r="B78" s="4" t="s">
        <x:v>365</x:v>
      </x:c>
      <x:c r="C78" s="5"/>
      <x:c r="D78" s="6"/>
      <x:c r="E78" s="4" t="s">
        <x:v>607</x:v>
      </x:c>
      <x:c r="F78" s="6"/>
      <x:c r="G78" s="6" t="s">
        <x:v>28</x:v>
      </x:c>
      <x:c r="H78" s="6"/>
      <x:c r="I78" s="6"/>
      <x:c r="J78" s="6"/>
    </x:row>
    <x:row r="79" ht="15.75" customHeight="1">
      <x:c r="A79" s="4" t="s">
        <x:v>608</x:v>
      </x:c>
      <x:c r="B79" s="4" t="s">
        <x:v>365</x:v>
      </x:c>
      <x:c r="C79" s="5"/>
      <x:c r="D79" s="6"/>
      <x:c r="E79" s="4" t="s">
        <x:v>615</x:v>
      </x:c>
      <x:c r="F79" s="6"/>
      <x:c r="G79" s="6" t="s">
        <x:v>28</x:v>
      </x:c>
      <x:c r="H79" s="6"/>
      <x:c r="I79" s="6"/>
      <x:c r="J79" s="6"/>
    </x:row>
    <x:row r="80" ht="15.75" customHeight="1">
      <x:c r="A80" s="4" t="s">
        <x:v>617</x:v>
      </x:c>
      <x:c r="B80" s="4" t="s">
        <x:v>365</x:v>
      </x:c>
      <x:c r="C80" s="5"/>
      <x:c r="D80" s="6"/>
      <x:c r="E80" s="4" t="s">
        <x:v>622</x:v>
      </x:c>
      <x:c r="F80" s="6"/>
      <x:c r="G80" s="6" t="s">
        <x:v>28</x:v>
      </x:c>
      <x:c r="H80" s="6"/>
      <x:c r="I80" s="6"/>
      <x:c r="J80" s="6"/>
    </x:row>
    <x:row r="81" ht="15.75" customHeight="1">
      <x:c r="A81" s="4" t="s">
        <x:v>623</x:v>
      </x:c>
      <x:c r="B81" s="4" t="s">
        <x:v>365</x:v>
      </x:c>
      <x:c r="C81" s="5"/>
      <x:c r="D81" s="6"/>
      <x:c r="E81" s="4" t="s">
        <x:v>630</x:v>
      </x:c>
      <x:c r="F81" s="6"/>
      <x:c r="G81" s="6" t="s">
        <x:v>28</x:v>
      </x:c>
      <x:c r="H81" s="6"/>
      <x:c r="I81" s="6"/>
      <x:c r="J81" s="6"/>
    </x:row>
    <x:row r="82" ht="15.75" customHeight="1">
      <x:c r="A82" s="4" t="s">
        <x:v>632</x:v>
      </x:c>
      <x:c r="B82" s="4" t="s">
        <x:v>365</x:v>
      </x:c>
      <x:c r="C82" s="5"/>
      <x:c r="D82" s="6"/>
      <x:c r="E82" s="4" t="s">
        <x:v>637</x:v>
      </x:c>
      <x:c r="F82" s="6"/>
      <x:c r="G82" s="6" t="s">
        <x:v>28</x:v>
      </x:c>
      <x:c r="H82" s="6"/>
      <x:c r="I82" s="6"/>
      <x:c r="J82" s="6"/>
    </x:row>
    <x:row r="83" ht="15.75" customHeight="1">
      <x:c r="A83" s="4" t="s">
        <x:v>638</x:v>
      </x:c>
      <x:c r="B83" s="4" t="s">
        <x:v>365</x:v>
      </x:c>
      <x:c r="C83" s="5"/>
      <x:c r="D83" s="6"/>
      <x:c r="E83" s="4" t="s">
        <x:v>644</x:v>
      </x:c>
      <x:c r="F83" s="6"/>
      <x:c r="G83" s="6" t="s">
        <x:v>28</x:v>
      </x:c>
      <x:c r="H83" s="6"/>
      <x:c r="I83" s="6"/>
      <x:c r="J83" s="6"/>
    </x:row>
    <x:row r="84" ht="15.75" customHeight="1">
      <x:c r="A84" s="4" t="s">
        <x:v>646</x:v>
      </x:c>
      <x:c r="B84" s="4" t="s">
        <x:v>365</x:v>
      </x:c>
      <x:c r="C84" s="5"/>
      <x:c r="D84" s="6"/>
      <x:c r="E84" s="4" t="s">
        <x:v>653</x:v>
      </x:c>
      <x:c r="F84" s="6"/>
      <x:c r="G84" s="6" t="s">
        <x:v>28</x:v>
      </x:c>
      <x:c r="H84" s="6"/>
      <x:c r="I84" s="6"/>
      <x:c r="J84" s="6"/>
    </x:row>
    <x:row r="85" ht="15.75" customHeight="1">
      <x:c r="A85" s="4" t="s">
        <x:v>655</x:v>
      </x:c>
      <x:c r="B85" s="4" t="s">
        <x:v>365</x:v>
      </x:c>
      <x:c r="C85" s="5"/>
      <x:c r="D85" s="6"/>
      <x:c r="E85" s="4" t="s">
        <x:v>662</x:v>
      </x:c>
      <x:c r="F85" s="6"/>
      <x:c r="G85" s="6" t="s">
        <x:v>28</x:v>
      </x:c>
      <x:c r="H85" s="6"/>
      <x:c r="I85" s="6"/>
      <x:c r="J85" s="6"/>
    </x:row>
    <x:row r="86" ht="15.75" customHeight="1">
      <x:c r="A86" s="4" t="s">
        <x:v>664</x:v>
      </x:c>
      <x:c r="B86" s="4" t="s">
        <x:v>365</x:v>
      </x:c>
      <x:c r="C86" s="5"/>
      <x:c r="D86" s="6"/>
      <x:c r="E86" s="4" t="s">
        <x:v>670</x:v>
      </x:c>
      <x:c r="F86" s="6"/>
      <x:c r="G86" s="6" t="s">
        <x:v>28</x:v>
      </x:c>
      <x:c r="H86" s="6"/>
      <x:c r="I86" s="6"/>
      <x:c r="J86" s="6"/>
    </x:row>
    <x:row r="87" ht="15.75" customHeight="1">
      <x:c r="A87" s="4" t="s">
        <x:v>671</x:v>
      </x:c>
      <x:c r="B87" s="4" t="s">
        <x:v>365</x:v>
      </x:c>
      <x:c r="C87" s="5"/>
      <x:c r="D87" s="6"/>
      <x:c r="E87" s="4" t="s">
        <x:v>677</x:v>
      </x:c>
      <x:c r="F87" s="6"/>
      <x:c r="G87" s="6" t="s">
        <x:v>28</x:v>
      </x:c>
      <x:c r="H87" s="6"/>
      <x:c r="I87" s="6"/>
      <x:c r="J87" s="6"/>
    </x:row>
    <x:row r="88" ht="15.75" customHeight="1">
      <x:c r="A88" s="4" t="s">
        <x:v>678</x:v>
      </x:c>
      <x:c r="B88" s="4" t="s">
        <x:v>365</x:v>
      </x:c>
      <x:c r="C88" s="5"/>
      <x:c r="D88" s="6"/>
      <x:c r="E88" s="4" t="s">
        <x:v>685</x:v>
      </x:c>
      <x:c r="F88" s="6"/>
      <x:c r="G88" s="6" t="s">
        <x:v>28</x:v>
      </x:c>
      <x:c r="H88" s="6"/>
      <x:c r="I88" s="6"/>
      <x:c r="J88" s="6"/>
    </x:row>
    <x:row r="89" ht="15.75" customHeight="1">
      <x:c r="A89" s="4" t="s">
        <x:v>686</x:v>
      </x:c>
      <x:c r="B89" s="4" t="s">
        <x:v>365</x:v>
      </x:c>
      <x:c r="C89" s="5"/>
      <x:c r="D89" s="6"/>
      <x:c r="E89" s="4" t="s">
        <x:v>693</x:v>
      </x:c>
      <x:c r="F89" s="6"/>
      <x:c r="G89" s="6" t="s">
        <x:v>28</x:v>
      </x:c>
      <x:c r="H89" s="6"/>
      <x:c r="I89" s="6"/>
      <x:c r="J89" s="6"/>
    </x:row>
    <x:row r="90" ht="15.75" customHeight="1">
      <x:c r="A90" s="4" t="s">
        <x:v>694</x:v>
      </x:c>
      <x:c r="B90" s="4" t="s">
        <x:v>365</x:v>
      </x:c>
      <x:c r="C90" s="5"/>
      <x:c r="D90" s="6"/>
      <x:c r="E90" s="4" t="s">
        <x:v>701</x:v>
      </x:c>
      <x:c r="F90" s="6"/>
      <x:c r="G90" s="6" t="s">
        <x:v>28</x:v>
      </x:c>
      <x:c r="H90" s="6"/>
      <x:c r="I90" s="6"/>
      <x:c r="J90" s="6"/>
    </x:row>
    <x:row r="91" ht="15.75" customHeight="1">
      <x:c r="A91" s="4" t="s">
        <x:v>702</x:v>
      </x:c>
      <x:c r="B91" s="4" t="s">
        <x:v>365</x:v>
      </x:c>
      <x:c r="C91" s="5"/>
      <x:c r="D91" s="6"/>
      <x:c r="E91" s="4" t="s">
        <x:v>708</x:v>
      </x:c>
      <x:c r="F91" s="6"/>
      <x:c r="G91" s="6" t="s">
        <x:v>28</x:v>
      </x:c>
      <x:c r="H91" s="6"/>
      <x:c r="I91" s="6"/>
      <x:c r="J91" s="6"/>
    </x:row>
    <x:row r="92" ht="15.75" customHeight="1">
      <x:c r="A92" s="4" t="s">
        <x:v>709</x:v>
      </x:c>
      <x:c r="B92" s="4" t="s">
        <x:v>365</x:v>
      </x:c>
      <x:c r="C92" s="5"/>
      <x:c r="D92" s="6"/>
      <x:c r="E92" s="4" t="s">
        <x:v>715</x:v>
      </x:c>
      <x:c r="F92" s="6"/>
      <x:c r="G92" s="6" t="s">
        <x:v>28</x:v>
      </x:c>
      <x:c r="H92" s="6"/>
      <x:c r="I92" s="6"/>
      <x:c r="J92" s="6"/>
    </x:row>
    <x:row r="93" ht="15.75" customHeight="1">
      <x:c r="A93" s="4" t="s">
        <x:v>716</x:v>
      </x:c>
      <x:c r="B93" s="4" t="s">
        <x:v>365</x:v>
      </x:c>
      <x:c r="C93" s="5"/>
      <x:c r="D93" s="6"/>
      <x:c r="E93" s="4" t="s">
        <x:v>722</x:v>
      </x:c>
      <x:c r="F93" s="6"/>
      <x:c r="G93" s="6" t="s">
        <x:v>28</x:v>
      </x:c>
      <x:c r="H93" s="6"/>
      <x:c r="I93" s="6"/>
      <x:c r="J93" s="6"/>
    </x:row>
    <x:row r="94" ht="15.75" customHeight="1">
      <x:c r="A94" s="4" t="s">
        <x:v>724</x:v>
      </x:c>
      <x:c r="B94" s="4" t="s">
        <x:v>365</x:v>
      </x:c>
      <x:c r="C94" s="5"/>
      <x:c r="D94" s="6"/>
      <x:c r="E94" s="4" t="s">
        <x:v>731</x:v>
      </x:c>
      <x:c r="F94" s="6"/>
      <x:c r="G94" s="6" t="s">
        <x:v>28</x:v>
      </x:c>
      <x:c r="H94" s="6"/>
      <x:c r="I94" s="6"/>
      <x:c r="J94" s="6"/>
    </x:row>
    <x:row r="95" ht="15.75" customHeight="1">
      <x:c r="A95" s="4" t="s">
        <x:v>733</x:v>
      </x:c>
      <x:c r="B95" s="4" t="s">
        <x:v>365</x:v>
      </x:c>
      <x:c r="C95" s="5"/>
      <x:c r="D95" s="6"/>
      <x:c r="E95" s="4" t="s">
        <x:v>739</x:v>
      </x:c>
      <x:c r="F95" s="6"/>
      <x:c r="G95" s="6" t="s">
        <x:v>28</x:v>
      </x:c>
      <x:c r="H95" s="6"/>
      <x:c r="I95" s="6"/>
      <x:c r="J95" s="6"/>
    </x:row>
    <x:row r="96" ht="15.75" customHeight="1">
      <x:c r="A96" s="4" t="s">
        <x:v>740</x:v>
      </x:c>
      <x:c r="B96" s="4" t="s">
        <x:v>365</x:v>
      </x:c>
      <x:c r="C96" s="5"/>
      <x:c r="D96" s="6"/>
      <x:c r="E96" s="4" t="s">
        <x:v>746</x:v>
      </x:c>
      <x:c r="F96" s="6"/>
      <x:c r="G96" s="6" t="s">
        <x:v>28</x:v>
      </x:c>
      <x:c r="H96" s="6"/>
      <x:c r="I96" s="6"/>
      <x:c r="J96" s="6"/>
    </x:row>
    <x:row r="97" ht="15.75" customHeight="1">
      <x:c r="A97" s="4" t="s">
        <x:v>747</x:v>
      </x:c>
      <x:c r="B97" s="4" t="s">
        <x:v>365</x:v>
      </x:c>
      <x:c r="C97" s="5"/>
      <x:c r="D97" s="6"/>
      <x:c r="E97" s="4" t="s">
        <x:v>754</x:v>
      </x:c>
      <x:c r="F97" s="6"/>
      <x:c r="G97" s="6" t="s">
        <x:v>28</x:v>
      </x:c>
      <x:c r="H97" s="6"/>
      <x:c r="I97" s="6"/>
      <x:c r="J97" s="6"/>
    </x:row>
    <x:row r="98" ht="15.75" customHeight="1">
      <x:c r="A98" s="4" t="s">
        <x:v>756</x:v>
      </x:c>
      <x:c r="B98" s="4" t="s">
        <x:v>365</x:v>
      </x:c>
      <x:c r="C98" s="5"/>
      <x:c r="D98" s="6"/>
      <x:c r="E98" s="4" t="s">
        <x:v>763</x:v>
      </x:c>
      <x:c r="F98" s="6"/>
      <x:c r="G98" s="6" t="s">
        <x:v>28</x:v>
      </x:c>
      <x:c r="H98" s="6"/>
      <x:c r="I98" s="6"/>
      <x:c r="J98" s="6"/>
    </x:row>
    <x:row r="99" ht="15.75" customHeight="1">
      <x:c r="A99" s="4" t="s">
        <x:v>764</x:v>
      </x:c>
      <x:c r="B99" s="4" t="s">
        <x:v>365</x:v>
      </x:c>
      <x:c r="C99" s="5"/>
      <x:c r="D99" s="6"/>
      <x:c r="E99" s="4" t="s">
        <x:v>770</x:v>
      </x:c>
      <x:c r="F99" s="6"/>
      <x:c r="G99" s="6" t="s">
        <x:v>28</x:v>
      </x:c>
      <x:c r="H99" s="6"/>
      <x:c r="I99" s="6"/>
      <x:c r="J99" s="6"/>
    </x:row>
    <x:row r="100" ht="15.75" customHeight="1">
      <x:c r="A100" s="4" t="s">
        <x:v>771</x:v>
      </x:c>
      <x:c r="B100" s="4" t="s">
        <x:v>365</x:v>
      </x:c>
      <x:c r="C100" s="5"/>
      <x:c r="D100" s="6"/>
      <x:c r="E100" s="4" t="s">
        <x:v>778</x:v>
      </x:c>
      <x:c r="F100" s="6"/>
      <x:c r="G100" s="6" t="s">
        <x:v>28</x:v>
      </x:c>
      <x:c r="H100" s="6"/>
      <x:c r="I100" s="6"/>
      <x:c r="J100" s="6"/>
    </x:row>
    <x:row r="101" ht="15.75" customHeight="1">
      <x:c r="A101" s="4" t="s">
        <x:v>779</x:v>
      </x:c>
      <x:c r="B101" s="4" t="s">
        <x:v>365</x:v>
      </x:c>
      <x:c r="C101" s="5"/>
      <x:c r="D101" s="6"/>
      <x:c r="E101" s="4" t="s">
        <x:v>784</x:v>
      </x:c>
      <x:c r="F101" s="6"/>
      <x:c r="G101" s="6" t="s">
        <x:v>28</x:v>
      </x:c>
      <x:c r="H101" s="6"/>
      <x:c r="I101" s="6"/>
      <x:c r="J101" s="6"/>
    </x:row>
    <x:row r="102" ht="15.75" customHeight="1">
      <x:c r="A102" s="4" t="s">
        <x:v>785</x:v>
      </x:c>
      <x:c r="B102" s="4" t="s">
        <x:v>365</x:v>
      </x:c>
      <x:c r="C102" s="5"/>
      <x:c r="D102" s="6"/>
      <x:c r="E102" s="4" t="s">
        <x:v>790</x:v>
      </x:c>
      <x:c r="F102" s="6"/>
      <x:c r="G102" s="6" t="s">
        <x:v>28</x:v>
      </x:c>
      <x:c r="H102" s="6"/>
      <x:c r="I102" s="6"/>
      <x:c r="J102" s="6"/>
    </x:row>
    <x:row r="103" ht="15.75" customHeight="1">
      <x:c r="A103" s="4" t="s">
        <x:v>791</x:v>
      </x:c>
      <x:c r="B103" s="4" t="s">
        <x:v>365</x:v>
      </x:c>
      <x:c r="C103" s="5"/>
      <x:c r="D103" s="6"/>
      <x:c r="E103" s="4" t="s">
        <x:v>798</x:v>
      </x:c>
      <x:c r="F103" s="6"/>
      <x:c r="G103" s="6" t="s">
        <x:v>28</x:v>
      </x:c>
      <x:c r="H103" s="6"/>
      <x:c r="I103" s="6"/>
      <x:c r="J103" s="6"/>
    </x:row>
    <x:row r="104" ht="15.75" customHeight="1">
      <x:c r="A104" s="4" t="s">
        <x:v>799</x:v>
      </x:c>
      <x:c r="B104" s="4" t="s">
        <x:v>365</x:v>
      </x:c>
      <x:c r="C104" s="5"/>
      <x:c r="D104" s="6"/>
      <x:c r="E104" s="4" t="s">
        <x:v>805</x:v>
      </x:c>
      <x:c r="F104" s="6"/>
      <x:c r="G104" s="6" t="s">
        <x:v>28</x:v>
      </x:c>
      <x:c r="H104" s="6"/>
      <x:c r="I104" s="6"/>
      <x:c r="J104" s="6"/>
    </x:row>
    <x:row r="105" ht="15.75" customHeight="1">
      <x:c r="A105" s="4" t="s">
        <x:v>806</x:v>
      </x:c>
      <x:c r="B105" s="4" t="s">
        <x:v>365</x:v>
      </x:c>
      <x:c r="C105" s="5"/>
      <x:c r="D105" s="6"/>
      <x:c r="E105" s="4" t="s">
        <x:v>812</x:v>
      </x:c>
      <x:c r="F105" s="6"/>
      <x:c r="G105" s="6" t="s">
        <x:v>28</x:v>
      </x:c>
      <x:c r="H105" s="6"/>
      <x:c r="I105" s="6"/>
      <x:c r="J105" s="6"/>
    </x:row>
    <x:row r="106" ht="15.75" customHeight="1">
      <x:c r="A106" s="4" t="s">
        <x:v>813</x:v>
      </x:c>
      <x:c r="B106" s="4" t="s">
        <x:v>365</x:v>
      </x:c>
      <x:c r="C106" s="5"/>
      <x:c r="D106" s="6"/>
      <x:c r="E106" s="4" t="s">
        <x:v>818</x:v>
      </x:c>
      <x:c r="F106" s="6"/>
      <x:c r="G106" s="6" t="s">
        <x:v>28</x:v>
      </x:c>
      <x:c r="H106" s="6"/>
      <x:c r="I106" s="6"/>
      <x:c r="J106" s="6"/>
    </x:row>
    <x:row r="107" ht="15.75" customHeight="1">
      <x:c r="A107" s="4" t="s">
        <x:v>819</x:v>
      </x:c>
      <x:c r="B107" s="4" t="s">
        <x:v>365</x:v>
      </x:c>
      <x:c r="C107" s="5"/>
      <x:c r="D107" s="6"/>
      <x:c r="E107" s="4" t="s">
        <x:v>825</x:v>
      </x:c>
      <x:c r="F107" s="6"/>
      <x:c r="G107" s="6" t="s">
        <x:v>28</x:v>
      </x:c>
      <x:c r="H107" s="6"/>
      <x:c r="I107" s="6"/>
      <x:c r="J107" s="6"/>
    </x:row>
    <x:row r="108" ht="15.75" customHeight="1">
      <x:c r="A108" s="4" t="s">
        <x:v>826</x:v>
      </x:c>
      <x:c r="B108" s="4" t="s">
        <x:v>365</x:v>
      </x:c>
      <x:c r="C108" s="5"/>
      <x:c r="D108" s="6"/>
      <x:c r="E108" s="4" t="s">
        <x:v>832</x:v>
      </x:c>
      <x:c r="F108" s="6"/>
      <x:c r="G108" s="6" t="s">
        <x:v>28</x:v>
      </x:c>
      <x:c r="H108" s="6"/>
      <x:c r="I108" s="6"/>
      <x:c r="J108" s="6"/>
    </x:row>
    <x:row r="109" ht="15.75" customHeight="1">
      <x:c r="A109" s="4" t="s">
        <x:v>833</x:v>
      </x:c>
      <x:c r="B109" s="4" t="s">
        <x:v>365</x:v>
      </x:c>
      <x:c r="C109" s="5"/>
      <x:c r="D109" s="6"/>
      <x:c r="E109" s="4" t="s">
        <x:v>840</x:v>
      </x:c>
      <x:c r="F109" s="6"/>
      <x:c r="G109" s="6" t="s">
        <x:v>28</x:v>
      </x:c>
      <x:c r="H109" s="6"/>
      <x:c r="I109" s="6"/>
      <x:c r="J109" s="6"/>
    </x:row>
    <x:row r="110" ht="15.75" customHeight="1">
      <x:c r="A110" s="4" t="s">
        <x:v>842</x:v>
      </x:c>
      <x:c r="B110" s="4" t="s">
        <x:v>365</x:v>
      </x:c>
      <x:c r="C110" s="5"/>
      <x:c r="D110" s="6"/>
      <x:c r="E110" s="4" t="s">
        <x:v>848</x:v>
      </x:c>
      <x:c r="F110" s="6"/>
      <x:c r="G110" s="6" t="s">
        <x:v>28</x:v>
      </x:c>
      <x:c r="H110" s="6"/>
      <x:c r="I110" s="6"/>
      <x:c r="J110" s="6"/>
    </x:row>
    <x:row r="111" ht="15.75" customHeight="1">
      <x:c r="A111" s="4" t="s">
        <x:v>850</x:v>
      </x:c>
      <x:c r="B111" s="4" t="s">
        <x:v>365</x:v>
      </x:c>
      <x:c r="C111" s="5"/>
      <x:c r="D111" s="6"/>
      <x:c r="E111" s="4" t="s">
        <x:v>856</x:v>
      </x:c>
      <x:c r="F111" s="6"/>
      <x:c r="G111" s="6" t="s">
        <x:v>28</x:v>
      </x:c>
      <x:c r="H111" s="6"/>
      <x:c r="I111" s="6"/>
      <x:c r="J111" s="6"/>
    </x:row>
    <x:row r="112" ht="15.75" customHeight="1">
      <x:c r="A112" s="4" t="s">
        <x:v>858</x:v>
      </x:c>
      <x:c r="B112" s="4" t="s">
        <x:v>365</x:v>
      </x:c>
      <x:c r="C112" s="5"/>
      <x:c r="D112" s="6"/>
      <x:c r="E112" s="4" t="s">
        <x:v>865</x:v>
      </x:c>
      <x:c r="F112" s="6"/>
      <x:c r="G112" s="6" t="s">
        <x:v>28</x:v>
      </x:c>
      <x:c r="H112" s="6"/>
      <x:c r="I112" s="6"/>
      <x:c r="J112" s="6"/>
    </x:row>
    <x:row r="113" ht="15.75" customHeight="1">
      <x:c r="A113" s="4" t="s">
        <x:v>867</x:v>
      </x:c>
      <x:c r="B113" s="4" t="s">
        <x:v>365</x:v>
      </x:c>
      <x:c r="C113" s="5"/>
      <x:c r="D113" s="6"/>
      <x:c r="E113" s="4" t="s">
        <x:v>873</x:v>
      </x:c>
      <x:c r="F113" s="6"/>
      <x:c r="G113" s="6" t="s">
        <x:v>28</x:v>
      </x:c>
      <x:c r="H113" s="6"/>
      <x:c r="I113" s="6"/>
      <x:c r="J113" s="6"/>
    </x:row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113">
      <x:formula1>"Not Run,Pass,Fail,Blocked,Not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8" customWidth="1"/>
    <x:col min="2" max="2" width="26" customWidth="1"/>
    <x:col min="3" max="26" width="8.710000038146973" customWidth="1"/>
  </x:cols>
  <x:sheetData>
    <x:row r="1">
      <x:c r="A1" s="2" t="s">
        <x:v>882</x:v>
      </x:c>
      <x:c r="B1" s="2" t="s">
        <x:v>883</x:v>
      </x:c>
    </x:row>
    <x:row r="2">
      <x:c r="A2" s="3" t="s">
        <x:v>884</x:v>
      </x:c>
      <x:c r="B2" s="3" t="n">
        <x:f>COUNTA(Execution_Log!A2:A113)</x:f>
        <x:v>112</x:v>
      </x:c>
    </x:row>
    <x:row r="3">
      <x:c r="A3" s="3" t="s">
        <x:v>885</x:v>
      </x:c>
      <x:c r="B3" s="3" t="n">
        <x:f>COUNTIF(Execution_Log!B2:B113,"Manual Testing")</x:f>
        <x:v>70</x:v>
      </x:c>
    </x:row>
    <x:row r="4">
      <x:c r="A4" s="3" t="s">
        <x:v>886</x:v>
      </x:c>
      <x:c r="B4" s="3" t="n">
        <x:f>COUNTIF(Execution_Log!B2:B113,"Unity Test Framework")</x:f>
        <x:v>42</x:v>
      </x:c>
    </x:row>
    <x:row r="5">
      <x:c r="A5" s="3" t="s">
        <x:v>28</x:v>
      </x:c>
      <x:c r="B5" s="3" t="n">
        <x:f>COUNTIF(Execution_Log!G2:G113,"Not Run")</x:f>
        <x:v>70</x:v>
      </x:c>
    </x:row>
    <x:row r="6">
      <x:c r="A6" s="3" t="s">
        <x:v>887</x:v>
      </x:c>
      <x:c r="B6" s="3" t="n">
        <x:f>COUNTIF(Execution_Log!G2:G113,"Pass")</x:f>
        <x:v>42</x:v>
      </x:c>
    </x:row>
    <x:row r="7">
      <x:c r="A7" s="3" t="s">
        <x:v>356</x:v>
      </x:c>
      <x:c r="B7" s="3" t="n">
        <x:f>COUNTIF(Execution_Log!G2:G113,"Fail")</x:f>
        <x:v>0</x:v>
      </x:c>
    </x:row>
    <x:row r="8">
      <x:c r="A8" s="3" t="s">
        <x:v>888</x:v>
      </x:c>
      <x:c r="B8" s="3" t="n">
        <x:f>COUNTIF(Execution_Log!G2:G113,"Blocked")</x:f>
        <x:v>0</x:v>
      </x:c>
    </x:row>
    <x:row r="9">
      <x:c r="A9" s="3" t="s">
        <x:v>889</x:v>
      </x:c>
      <x:c r="B9" s="3" t="n">
        <x:f>COUNTIF(Execution_Log!G2:G113,"Not Applicable")</x:f>
        <x:v>0</x:v>
      </x:c>
    </x:row>
    <x:row r="10">
      <x:c r="A10" s="3" t="s">
        <x:v>890</x:v>
      </x:c>
      <x:c r="B10" s="3" t="n">
        <x:f>B6+B7</x:f>
        <x:v>42</x:v>
      </x:c>
    </x:row>
    <x:row r="11">
      <x:c r="A11" s="3" t="s">
        <x:v>891</x:v>
      </x:c>
      <x:c r="B11" s="8" t="n">
        <x:f>IF(B10=0,"Chưa có kết quả thực thi",B6/B10)</x:f>
        <x:v>1</x:v>
      </x:c>
    </x:row>
    <x:row r="13">
      <x:c r="A13" s="9" t="s">
        <x:v>892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14.430000305175781" defaultRowHeight="15"/>
  <x:cols>
    <x:col min="1" max="1" width="11" customWidth="1"/>
    <x:col min="2" max="2" width="26" customWidth="1"/>
    <x:col min="3" max="3" width="110" customWidth="1"/>
    <x:col min="4" max="26" width="8.710000038146973" customWidth="1"/>
  </x:cols>
  <x:sheetData>
    <x:row r="1" ht="31.5" customHeight="1">
      <x:c r="A1" s="1" t="s">
        <x:v>0</x:v>
      </x:c>
      <x:c r="B1" s="1" t="s">
        <x:v>1</x:v>
      </x:c>
      <x:c r="C1" s="1" t="s">
        <x:v>893</x:v>
      </x:c>
    </x:row>
    <x:row r="2">
      <x:c r="A2" s="4" t="s">
        <x:v>15</x:v>
      </x:c>
      <x:c r="B2" s="4" t="s">
        <x:v>16</x:v>
      </x:c>
      <x:c r="C2" s="4" t="s">
        <x:v>894</x:v>
      </x:c>
    </x:row>
    <x:row r="3">
      <x:c r="A3" s="4" t="s">
        <x:v>30</x:v>
      </x:c>
      <x:c r="B3" s="4" t="s">
        <x:v>16</x:v>
      </x:c>
      <x:c r="C3" s="4" t="s">
        <x:v>895</x:v>
      </x:c>
    </x:row>
    <x:row r="4">
      <x:c r="A4" s="4" t="s">
        <x:v>37</x:v>
      </x:c>
      <x:c r="B4" s="4" t="s">
        <x:v>16</x:v>
      </x:c>
      <x:c r="C4" s="4" t="s">
        <x:v>896</x:v>
      </x:c>
    </x:row>
    <x:row r="5">
      <x:c r="A5" s="4" t="s">
        <x:v>45</x:v>
      </x:c>
      <x:c r="B5" s="4" t="s">
        <x:v>16</x:v>
      </x:c>
      <x:c r="C5" s="4" t="s">
        <x:v>897</x:v>
      </x:c>
    </x:row>
    <x:row r="6">
      <x:c r="A6" s="4" t="s">
        <x:v>53</x:v>
      </x:c>
      <x:c r="B6" s="4" t="s">
        <x:v>54</x:v>
      </x:c>
      <x:c r="C6" s="4" t="s">
        <x:v>898</x:v>
      </x:c>
    </x:row>
    <x:row r="7">
      <x:c r="A7" s="4" t="s">
        <x:v>63</x:v>
      </x:c>
      <x:c r="B7" s="4" t="s">
        <x:v>54</x:v>
      </x:c>
      <x:c r="C7" s="4" t="s">
        <x:v>899</x:v>
      </x:c>
    </x:row>
    <x:row r="8">
      <x:c r="A8" s="4" t="s">
        <x:v>70</x:v>
      </x:c>
      <x:c r="B8" s="4" t="s">
        <x:v>54</x:v>
      </x:c>
      <x:c r="C8" s="4" t="s">
        <x:v>900</x:v>
      </x:c>
    </x:row>
    <x:row r="9">
      <x:c r="A9" s="4" t="s">
        <x:v>77</x:v>
      </x:c>
      <x:c r="B9" s="4" t="s">
        <x:v>78</x:v>
      </x:c>
      <x:c r="C9" s="4" t="s">
        <x:v>901</x:v>
      </x:c>
    </x:row>
    <x:row r="10">
      <x:c r="A10" s="4" t="s">
        <x:v>86</x:v>
      </x:c>
      <x:c r="B10" s="4" t="s">
        <x:v>87</x:v>
      </x:c>
      <x:c r="C10" s="4" t="s">
        <x:v>902</x:v>
      </x:c>
    </x:row>
    <x:row r="11">
      <x:c r="A11" s="4" t="s">
        <x:v>95</x:v>
      </x:c>
      <x:c r="B11" s="4" t="s">
        <x:v>96</x:v>
      </x:c>
      <x:c r="C11" s="4" t="s">
        <x:v>903</x:v>
      </x:c>
    </x:row>
    <x:row r="12">
      <x:c r="A12" s="4" t="s">
        <x:v>104</x:v>
      </x:c>
      <x:c r="B12" s="4" t="s">
        <x:v>96</x:v>
      </x:c>
      <x:c r="C12" s="4" t="s">
        <x:v>904</x:v>
      </x:c>
    </x:row>
    <x:row r="13">
      <x:c r="A13" s="4" t="s">
        <x:v>112</x:v>
      </x:c>
      <x:c r="B13" s="4" t="s">
        <x:v>16</x:v>
      </x:c>
      <x:c r="C13" s="4" t="s">
        <x:v>905</x:v>
      </x:c>
    </x:row>
    <x:row r="14">
      <x:c r="A14" s="4" t="s">
        <x:v>119</x:v>
      </x:c>
      <x:c r="B14" s="4" t="s">
        <x:v>120</x:v>
      </x:c>
      <x:c r="C14" s="4" t="s">
        <x:v>906</x:v>
      </x:c>
    </x:row>
    <x:row r="15">
      <x:c r="A15" s="4" t="s">
        <x:v>128</x:v>
      </x:c>
      <x:c r="B15" s="4" t="s">
        <x:v>129</x:v>
      </x:c>
      <x:c r="C15" s="4" t="s">
        <x:v>907</x:v>
      </x:c>
    </x:row>
    <x:row r="16">
      <x:c r="A16" s="4" t="s">
        <x:v>136</x:v>
      </x:c>
      <x:c r="B16" s="4" t="s">
        <x:v>129</x:v>
      </x:c>
      <x:c r="C16" s="4" t="s">
        <x:v>908</x:v>
      </x:c>
    </x:row>
    <x:row r="17">
      <x:c r="A17" s="4" t="s">
        <x:v>143</x:v>
      </x:c>
      <x:c r="B17" s="4" t="s">
        <x:v>129</x:v>
      </x:c>
      <x:c r="C17" s="4" t="s">
        <x:v>909</x:v>
      </x:c>
    </x:row>
    <x:row r="18">
      <x:c r="A18" s="4" t="s">
        <x:v>150</x:v>
      </x:c>
      <x:c r="B18" s="4" t="s">
        <x:v>129</x:v>
      </x:c>
      <x:c r="C18" s="4" t="s">
        <x:v>910</x:v>
      </x:c>
    </x:row>
    <x:row r="19">
      <x:c r="A19" s="4" t="s">
        <x:v>157</x:v>
      </x:c>
      <x:c r="B19" s="4" t="s">
        <x:v>158</x:v>
      </x:c>
      <x:c r="C19" s="4" t="s">
        <x:v>911</x:v>
      </x:c>
    </x:row>
    <x:row r="20">
      <x:c r="A20" s="4" t="s">
        <x:v>165</x:v>
      </x:c>
      <x:c r="B20" s="4" t="s">
        <x:v>166</x:v>
      </x:c>
      <x:c r="C20" s="4" t="s">
        <x:v>912</x:v>
      </x:c>
    </x:row>
    <x:row r="21" ht="15.75" customHeight="1">
      <x:c r="A21" s="4" t="s">
        <x:v>173</x:v>
      </x:c>
      <x:c r="B21" s="4" t="s">
        <x:v>166</x:v>
      </x:c>
      <x:c r="C21" s="4" t="s">
        <x:v>913</x:v>
      </x:c>
    </x:row>
    <x:row r="22" ht="15.75" customHeight="1">
      <x:c r="A22" s="4" t="s">
        <x:v>179</x:v>
      </x:c>
      <x:c r="B22" s="4" t="s">
        <x:v>180</x:v>
      </x:c>
      <x:c r="C22" s="4" t="s">
        <x:v>914</x:v>
      </x:c>
    </x:row>
    <x:row r="23" ht="15.75" customHeight="1">
      <x:c r="A23" s="4" t="s">
        <x:v>187</x:v>
      </x:c>
      <x:c r="B23" s="4" t="s">
        <x:v>188</x:v>
      </x:c>
      <x:c r="C23" s="4" t="s">
        <x:v>915</x:v>
      </x:c>
    </x:row>
    <x:row r="24" ht="15.75" customHeight="1">
      <x:c r="A24" s="4" t="s">
        <x:v>195</x:v>
      </x:c>
      <x:c r="B24" s="4" t="s">
        <x:v>196</x:v>
      </x:c>
      <x:c r="C24" s="4" t="s">
        <x:v>916</x:v>
      </x:c>
    </x:row>
    <x:row r="25" ht="15.75" customHeight="1">
      <x:c r="A25" s="4" t="s">
        <x:v>204</x:v>
      </x:c>
      <x:c r="B25" s="4" t="s">
        <x:v>196</x:v>
      </x:c>
      <x:c r="C25" s="4" t="s">
        <x:v>917</x:v>
      </x:c>
    </x:row>
    <x:row r="26" ht="15.75" customHeight="1">
      <x:c r="A26" s="4" t="s">
        <x:v>209</x:v>
      </x:c>
      <x:c r="B26" s="4" t="s">
        <x:v>196</x:v>
      </x:c>
      <x:c r="C26" s="4" t="s">
        <x:v>918</x:v>
      </x:c>
    </x:row>
    <x:row r="27" ht="15.75" customHeight="1">
      <x:c r="A27" s="4" t="s">
        <x:v>216</x:v>
      </x:c>
      <x:c r="B27" s="4" t="s">
        <x:v>217</x:v>
      </x:c>
      <x:c r="C27" s="4" t="s">
        <x:v>919</x:v>
      </x:c>
    </x:row>
    <x:row r="28" ht="15.75" customHeight="1">
      <x:c r="A28" s="4" t="s">
        <x:v>225</x:v>
      </x:c>
      <x:c r="B28" s="4" t="s">
        <x:v>226</x:v>
      </x:c>
      <x:c r="C28" s="4" t="s">
        <x:v>920</x:v>
      </x:c>
    </x:row>
    <x:row r="29" ht="15.75" customHeight="1">
      <x:c r="A29" s="4" t="s">
        <x:v>233</x:v>
      </x:c>
      <x:c r="B29" s="4" t="s">
        <x:v>234</x:v>
      </x:c>
      <x:c r="C29" s="4" t="s">
        <x:v>921</x:v>
      </x:c>
    </x:row>
    <x:row r="30" ht="15.75" customHeight="1">
      <x:c r="A30" s="4" t="s">
        <x:v>243</x:v>
      </x:c>
      <x:c r="B30" s="4" t="s">
        <x:v>244</x:v>
      </x:c>
      <x:c r="C30" s="4" t="s">
        <x:v>922</x:v>
      </x:c>
    </x:row>
    <x:row r="31" ht="15.75" customHeight="1">
      <x:c r="A31" s="4" t="s">
        <x:v>251</x:v>
      </x:c>
      <x:c r="B31" s="4" t="s">
        <x:v>252</x:v>
      </x:c>
      <x:c r="C31" s="4" t="s">
        <x:v>923</x:v>
      </x:c>
    </x:row>
    <x:row r="32" ht="15.75" customHeight="1">
      <x:c r="A32" s="4" t="s">
        <x:v>260</x:v>
      </x:c>
      <x:c r="B32" s="4" t="s">
        <x:v>261</x:v>
      </x:c>
      <x:c r="C32" s="4" t="s">
        <x:v>924</x:v>
      </x:c>
    </x:row>
    <x:row r="33" ht="15.75" customHeight="1">
      <x:c r="A33" s="4" t="s">
        <x:v>269</x:v>
      </x:c>
      <x:c r="B33" s="4" t="s">
        <x:v>270</x:v>
      </x:c>
      <x:c r="C33" s="4" t="s">
        <x:v>925</x:v>
      </x:c>
    </x:row>
    <x:row r="34" ht="15.75" customHeight="1">
      <x:c r="A34" s="4" t="s">
        <x:v>275</x:v>
      </x:c>
      <x:c r="B34" s="4" t="s">
        <x:v>276</x:v>
      </x:c>
      <x:c r="C34" s="4" t="s">
        <x:v>926</x:v>
      </x:c>
    </x:row>
    <x:row r="35" ht="15.75" customHeight="1">
      <x:c r="A35" s="4" t="s">
        <x:v>283</x:v>
      </x:c>
      <x:c r="B35" s="4" t="s">
        <x:v>284</x:v>
      </x:c>
      <x:c r="C35" s="4" t="s">
        <x:v>927</x:v>
      </x:c>
    </x:row>
    <x:row r="36" ht="15.75" customHeight="1">
      <x:c r="A36" s="4" t="s">
        <x:v>291</x:v>
      </x:c>
      <x:c r="B36" s="4" t="s">
        <x:v>244</x:v>
      </x:c>
      <x:c r="C36" s="4" t="s">
        <x:v>928</x:v>
      </x:c>
    </x:row>
    <x:row r="37" ht="15.75" customHeight="1">
      <x:c r="A37" s="4" t="s">
        <x:v>297</x:v>
      </x:c>
      <x:c r="B37" s="4" t="s">
        <x:v>244</x:v>
      </x:c>
      <x:c r="C37" s="4" t="s">
        <x:v>929</x:v>
      </x:c>
    </x:row>
    <x:row r="38" ht="15.75" customHeight="1">
      <x:c r="A38" s="4" t="s">
        <x:v>304</x:v>
      </x:c>
      <x:c r="B38" s="4" t="s">
        <x:v>305</x:v>
      </x:c>
      <x:c r="C38" s="4" t="s">
        <x:v>930</x:v>
      </x:c>
    </x:row>
    <x:row r="39" ht="15.75" customHeight="1">
      <x:c r="A39" s="4" t="s">
        <x:v>314</x:v>
      </x:c>
      <x:c r="B39" s="4" t="s">
        <x:v>315</x:v>
      </x:c>
      <x:c r="C39" s="4" t="s">
        <x:v>931</x:v>
      </x:c>
    </x:row>
    <x:row r="40" ht="15.75" customHeight="1">
      <x:c r="A40" s="4" t="s">
        <x:v>323</x:v>
      </x:c>
      <x:c r="B40" s="4" t="s">
        <x:v>324</x:v>
      </x:c>
      <x:c r="C40" s="4" t="s">
        <x:v>932</x:v>
      </x:c>
    </x:row>
    <x:row r="41" ht="15.75" customHeight="1">
      <x:c r="A41" s="4" t="s">
        <x:v>332</x:v>
      </x:c>
      <x:c r="B41" s="4" t="s">
        <x:v>333</x:v>
      </x:c>
      <x:c r="C41" s="4" t="s">
        <x:v>933</x:v>
      </x:c>
    </x:row>
    <x:row r="42" ht="15.75" customHeight="1">
      <x:c r="A42" s="4" t="s">
        <x:v>340</x:v>
      </x:c>
      <x:c r="B42" s="4" t="s">
        <x:v>341</x:v>
      </x:c>
      <x:c r="C42" s="4" t="s">
        <x:v>934</x:v>
      </x:c>
    </x:row>
    <x:row r="43" ht="15.75" customHeight="1">
      <x:c r="A43" s="4" t="s">
        <x:v>348</x:v>
      </x:c>
      <x:c r="B43" s="4" t="s">
        <x:v>341</x:v>
      </x:c>
      <x:c r="C43" s="4" t="s">
        <x:v>935</x:v>
      </x:c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